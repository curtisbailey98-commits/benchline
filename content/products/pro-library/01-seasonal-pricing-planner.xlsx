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sonal Planner" state="visible" r:id="rId4"/>
  </sheets>
  <calcPr calcId="171027" fullCalcOnLoad="1"/>
</workbook>
</file>

<file path=xl/sharedStrings.xml><?xml version="1.0" encoding="utf-8"?>
<sst xmlns="http://schemas.openxmlformats.org/spreadsheetml/2006/main" count="55" uniqueCount="42">
  <si>
    <t>Seasonal Pricing Planner</t>
  </si>
  <si>
    <t>Plan your year: when to hold price, when to raise it, and what to do in slow months.</t>
  </si>
  <si>
    <t>Yellow cells are inputs — change them. Green cells are results (formulas).</t>
  </si>
  <si>
    <t>Base price for your typical job</t>
  </si>
  <si>
    <t>Jobs per week when fully booked</t>
  </si>
  <si>
    <t>Working weeks per month (average)</t>
  </si>
  <si>
    <t>Demand level</t>
  </si>
  <si>
    <t>Price change</t>
  </si>
  <si>
    <t>What to do</t>
  </si>
  <si>
    <t>Slow</t>
  </si>
  <si>
    <t>Hold price. Run a prepay or rebook offer to existing customers; do maintenance and marketing.</t>
  </si>
  <si>
    <t>Normal</t>
  </si>
  <si>
    <t>Standard pricing. Ask every happy customer for a review and a rebook.</t>
  </si>
  <si>
    <t>Busy</t>
  </si>
  <si>
    <t>Raise new-customer prices a little. Book further out; stop discounting.</t>
  </si>
  <si>
    <t>Peak</t>
  </si>
  <si>
    <t>Highest prices of the year for new customers. Protect regulars' slots first.</t>
  </si>
  <si>
    <t>Month</t>
  </si>
  <si>
    <t>% booked</t>
  </si>
  <si>
    <t>Jobs / week</t>
  </si>
  <si>
    <t>Price per job</t>
  </si>
  <si>
    <t>Projected revenue</t>
  </si>
  <si>
    <t>Plan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</si>
  <si>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</si>
  <si>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</si>
  <si>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</si>
  <si>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</si>
  <si>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</si>
  <si>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</si>
  <si>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</si>
  <si>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</si>
  <si>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</si>
  <si>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</si>
  <si>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</si>
  <si>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</si>
  <si>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Projected year</t>
  </si>
  <si>
    <t>Average month</t>
  </si>
  <si>
    <t>Slowest month</t>
  </si>
  <si>
    <t>Busiest month</t>
  </si>
  <si>
    <t>Gap between busiest and slowest month</t>
  </si>
  <si>
    <t>Save this much each busy month to cover slow months</t>
  </si>
  <si>
    <t>Projections are planning estimates from your own inputs, not predictions.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</si>
</sst>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0.0"/>
    <numFmt numFmtId="166" formatCode="&quot;$&quot;#,##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  <color rgb="FFE8A838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1C2029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1" fontId="0" fillId="2" borderId="0" xfId="0" applyNumberFormat="1" applyFill="1"/>
    <xf numFmtId="165" fontId="0" fillId="2" borderId="0" xfId="0" applyNumberFormat="1" applyFill="1"/>
    <xf numFmtId="0" fontId="3" fillId="3" borderId="0" xfId="0" applyFont="1" applyFill="1" applyAlignment="1">
      <alignment vertical="center" wrapText="1"/>
    </xf>
    <xf numFmtId="0" fontId="4" fillId="0" borderId="0" xfId="0" applyFont="1"/>
    <xf numFmtId="9" fontId="0" fillId="2" borderId="0" xfId="0" applyNumberFormat="1" applyFill="1"/>
    <xf numFmtId="0" fontId="0" fillId="2" borderId="0" xfId="0" applyFill="1"/>
    <xf numFmtId="165" fontId="0" fillId="0" borderId="0" xfId="0" applyNumberFormat="1"/>
    <xf numFmtId="164" fontId="0" fillId="0" borderId="0" xfId="0" applyNumberFormat="1"/>
    <xf numFmtId="166" fontId="4" fillId="4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5" width="16" customWidth="1"/>
    <col min="6" max="6" width="18" customWidth="1"/>
    <col min="7" max="7" width="4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4" x14ac:dyDescent="0.25">
      <c r="A5" t="s">
        <v>3</v>
      </c>
      <c r="D5" s="3">
        <v>200</v>
      </c>
    </row>
    <row r="6" spans="1:4" x14ac:dyDescent="0.25">
      <c r="A6" t="s">
        <v>4</v>
      </c>
      <c r="D6" s="4">
        <v>15</v>
      </c>
    </row>
    <row r="7" spans="1:4" x14ac:dyDescent="0.25">
      <c r="A7" t="s">
        <v>5</v>
      </c>
      <c r="D7" s="5">
        <v>4.3</v>
      </c>
    </row>
    <row r="9" spans="1:3" x14ac:dyDescent="0.25">
      <c r="A9" s="6" t="s">
        <v>6</v>
      </c>
      <c r="B9" s="6" t="s">
        <v>7</v>
      </c>
      <c r="C9" s="6" t="s">
        <v>8</v>
      </c>
    </row>
    <row r="10" spans="1:3" x14ac:dyDescent="0.25">
      <c r="A10" s="7" t="s">
        <v>9</v>
      </c>
      <c r="B10" s="8">
        <v>0</v>
      </c>
      <c r="C10" t="s">
        <v>10</v>
      </c>
    </row>
    <row r="11" spans="1:3" x14ac:dyDescent="0.25">
      <c r="A11" s="7" t="s">
        <v>11</v>
      </c>
      <c r="B11" s="8">
        <v>0</v>
      </c>
      <c r="C11" t="s">
        <v>12</v>
      </c>
    </row>
    <row r="12" spans="1:3" x14ac:dyDescent="0.25">
      <c r="A12" s="7" t="s">
        <v>13</v>
      </c>
      <c r="B12" s="8">
        <v>0.05</v>
      </c>
      <c r="C12" t="s">
        <v>14</v>
      </c>
    </row>
    <row r="13" spans="1:3" x14ac:dyDescent="0.25">
      <c r="A13" s="7" t="s">
        <v>15</v>
      </c>
      <c r="B13" s="8">
        <v>0.1</v>
      </c>
      <c r="C13" t="s">
        <v>16</v>
      </c>
    </row>
    <row r="16" spans="1:7" x14ac:dyDescent="0.25">
      <c r="A16" s="6" t="s">
        <v>17</v>
      </c>
      <c r="B16" s="6" t="s">
        <v>6</v>
      </c>
      <c r="C16" s="6" t="s">
        <v>18</v>
      </c>
      <c r="D16" s="6" t="s">
        <v>19</v>
      </c>
      <c r="E16" s="6" t="s">
        <v>20</v>
      </c>
      <c r="F16" s="6" t="s">
        <v>21</v>
      </c>
      <c r="G16" s="6" t="s">
        <v>22</v>
      </c>
    </row>
    <row r="17" spans="1:7" x14ac:dyDescent="0.25">
      <c r="A17" s="7" t="s">
        <v>23</v>
      </c>
      <c r="B17" s="9" t="s">
        <v>9</v>
      </c>
      <c r="C17" s="8">
        <v>0.5</v>
      </c>
      <c r="D17" s="10">
        <f>ROUND($D$6*C17,1)</f>
      </c>
      <c r="E17" s="11">
        <f>CEILING($D$5*(1+IFERROR(VLOOKUP(B17,$A$10:$B$13,2,FALSE),0)),5)</f>
      </c>
      <c r="F17" s="12">
        <f>D17*E17*$D$7</f>
      </c>
      <c r="G17">
        <f>IFERROR(VLOOKUP(B17,$A$10:$C$13,3,FALSE),"")</f>
      </c>
    </row>
    <row r="18" spans="1:7" x14ac:dyDescent="0.25">
      <c r="A18" s="7" t="s">
        <v>24</v>
      </c>
      <c r="B18" s="9" t="s">
        <v>9</v>
      </c>
      <c r="C18" s="8">
        <v>0.5</v>
      </c>
      <c r="D18" s="10">
        <f>ROUND($D$6*C18,1)</f>
      </c>
      <c r="E18" s="11">
        <f>CEILING($D$5*(1+IFERROR(VLOOKUP(B18,$A$10:$B$13,2,FALSE),0)),5)</f>
      </c>
      <c r="F18" s="12">
        <f>D18*E18*$D$7</f>
      </c>
      <c r="G18">
        <f>IFERROR(VLOOKUP(B18,$A$10:$C$13,3,FALSE),"")</f>
      </c>
    </row>
    <row r="19" spans="1:7" x14ac:dyDescent="0.25">
      <c r="A19" s="7" t="s">
        <v>25</v>
      </c>
      <c r="B19" s="9" t="s">
        <v>11</v>
      </c>
      <c r="C19" s="8">
        <v>0.7</v>
      </c>
      <c r="D19" s="10">
        <f>ROUND($D$6*C19,1)</f>
      </c>
      <c r="E19" s="11">
        <f>CEILING($D$5*(1+IFERROR(VLOOKUP(B19,$A$10:$B$13,2,FALSE),0)),5)</f>
      </c>
      <c r="F19" s="12">
        <f>D19*E19*$D$7</f>
      </c>
      <c r="G19">
        <f>IFERROR(VLOOKUP(B19,$A$10:$C$13,3,FALSE),"")</f>
      </c>
    </row>
    <row r="20" spans="1:7" x14ac:dyDescent="0.25">
      <c r="A20" s="7" t="s">
        <v>26</v>
      </c>
      <c r="B20" s="9" t="s">
        <v>13</v>
      </c>
      <c r="C20" s="8">
        <v>0.9</v>
      </c>
      <c r="D20" s="10">
        <f>ROUND($D$6*C20,1)</f>
      </c>
      <c r="E20" s="11">
        <f>CEILING($D$5*(1+IFERROR(VLOOKUP(B20,$A$10:$B$13,2,FALSE),0)),5)</f>
      </c>
      <c r="F20" s="12">
        <f>D20*E20*$D$7</f>
      </c>
      <c r="G20">
        <f>IFERROR(VLOOKUP(B20,$A$10:$C$13,3,FALSE),"")</f>
      </c>
    </row>
    <row r="21" spans="1:7" x14ac:dyDescent="0.25">
      <c r="A21" s="7" t="s">
        <v>27</v>
      </c>
      <c r="B21" s="9" t="s">
        <v>15</v>
      </c>
      <c r="C21" s="8">
        <v>1</v>
      </c>
      <c r="D21" s="10">
        <f>ROUND($D$6*C21,1)</f>
      </c>
      <c r="E21" s="11">
        <f>CEILING($D$5*(1+IFERROR(VLOOKUP(B21,$A$10:$B$13,2,FALSE),0)),5)</f>
      </c>
      <c r="F21" s="12">
        <f>D21*E21*$D$7</f>
      </c>
      <c r="G21">
        <f>IFERROR(VLOOKUP(B21,$A$10:$C$13,3,FALSE),"")</f>
      </c>
    </row>
    <row r="22" spans="1:7" x14ac:dyDescent="0.25">
      <c r="A22" s="7" t="s">
        <v>28</v>
      </c>
      <c r="B22" s="9" t="s">
        <v>15</v>
      </c>
      <c r="C22" s="8">
        <v>1</v>
      </c>
      <c r="D22" s="10">
        <f>ROUND($D$6*C22,1)</f>
      </c>
      <c r="E22" s="11">
        <f>CEILING($D$5*(1+IFERROR(VLOOKUP(B22,$A$10:$B$13,2,FALSE),0)),5)</f>
      </c>
      <c r="F22" s="12">
        <f>D22*E22*$D$7</f>
      </c>
      <c r="G22">
        <f>IFERROR(VLOOKUP(B22,$A$10:$C$13,3,FALSE),"")</f>
      </c>
    </row>
    <row r="23" spans="1:7" x14ac:dyDescent="0.25">
      <c r="A23" s="7" t="s">
        <v>29</v>
      </c>
      <c r="B23" s="9" t="s">
        <v>13</v>
      </c>
      <c r="C23" s="8">
        <v>0.9</v>
      </c>
      <c r="D23" s="10">
        <f>ROUND($D$6*C23,1)</f>
      </c>
      <c r="E23" s="11">
        <f>CEILING($D$5*(1+IFERROR(VLOOKUP(B23,$A$10:$B$13,2,FALSE),0)),5)</f>
      </c>
      <c r="F23" s="12">
        <f>D23*E23*$D$7</f>
      </c>
      <c r="G23">
        <f>IFERROR(VLOOKUP(B23,$A$10:$C$13,3,FALSE),"")</f>
      </c>
    </row>
    <row r="24" spans="1:7" x14ac:dyDescent="0.25">
      <c r="A24" s="7" t="s">
        <v>30</v>
      </c>
      <c r="B24" s="9" t="s">
        <v>13</v>
      </c>
      <c r="C24" s="8">
        <v>0.85</v>
      </c>
      <c r="D24" s="10">
        <f>ROUND($D$6*C24,1)</f>
      </c>
      <c r="E24" s="11">
        <f>CEILING($D$5*(1+IFERROR(VLOOKUP(B24,$A$10:$B$13,2,FALSE),0)),5)</f>
      </c>
      <c r="F24" s="12">
        <f>D24*E24*$D$7</f>
      </c>
      <c r="G24">
        <f>IFERROR(VLOOKUP(B24,$A$10:$C$13,3,FALSE),"")</f>
      </c>
    </row>
    <row r="25" spans="1:7" x14ac:dyDescent="0.25">
      <c r="A25" s="7" t="s">
        <v>31</v>
      </c>
      <c r="B25" s="9" t="s">
        <v>11</v>
      </c>
      <c r="C25" s="8">
        <v>0.75</v>
      </c>
      <c r="D25" s="10">
        <f>ROUND($D$6*C25,1)</f>
      </c>
      <c r="E25" s="11">
        <f>CEILING($D$5*(1+IFERROR(VLOOKUP(B25,$A$10:$B$13,2,FALSE),0)),5)</f>
      </c>
      <c r="F25" s="12">
        <f>D25*E25*$D$7</f>
      </c>
      <c r="G25">
        <f>IFERROR(VLOOKUP(B25,$A$10:$C$13,3,FALSE),"")</f>
      </c>
    </row>
    <row r="26" spans="1:7" x14ac:dyDescent="0.25">
      <c r="A26" s="7" t="s">
        <v>32</v>
      </c>
      <c r="B26" s="9" t="s">
        <v>13</v>
      </c>
      <c r="C26" s="8">
        <v>0.85</v>
      </c>
      <c r="D26" s="10">
        <f>ROUND($D$6*C26,1)</f>
      </c>
      <c r="E26" s="11">
        <f>CEILING($D$5*(1+IFERROR(VLOOKUP(B26,$A$10:$B$13,2,FALSE),0)),5)</f>
      </c>
      <c r="F26" s="12">
        <f>D26*E26*$D$7</f>
      </c>
      <c r="G26">
        <f>IFERROR(VLOOKUP(B26,$A$10:$C$13,3,FALSE),"")</f>
      </c>
    </row>
    <row r="27" spans="1:7" x14ac:dyDescent="0.25">
      <c r="A27" s="7" t="s">
        <v>33</v>
      </c>
      <c r="B27" s="9" t="s">
        <v>11</v>
      </c>
      <c r="C27" s="8">
        <v>0.7</v>
      </c>
      <c r="D27" s="10">
        <f>ROUND($D$6*C27,1)</f>
      </c>
      <c r="E27" s="11">
        <f>CEILING($D$5*(1+IFERROR(VLOOKUP(B27,$A$10:$B$13,2,FALSE),0)),5)</f>
      </c>
      <c r="F27" s="12">
        <f>D27*E27*$D$7</f>
      </c>
      <c r="G27">
        <f>IFERROR(VLOOKUP(B27,$A$10:$C$13,3,FALSE),"")</f>
      </c>
    </row>
    <row r="28" spans="1:7" x14ac:dyDescent="0.25">
      <c r="A28" s="7" t="s">
        <v>34</v>
      </c>
      <c r="B28" s="9" t="s">
        <v>9</v>
      </c>
      <c r="C28" s="8">
        <v>0.55</v>
      </c>
      <c r="D28" s="10">
        <f>ROUND($D$6*C28,1)</f>
      </c>
      <c r="E28" s="11">
        <f>CEILING($D$5*(1+IFERROR(VLOOKUP(B28,$A$10:$B$13,2,FALSE),0)),5)</f>
      </c>
      <c r="F28" s="12">
        <f>D28*E28*$D$7</f>
      </c>
      <c r="G28">
        <f>IFERROR(VLOOKUP(B28,$A$10:$C$13,3,FALSE),"")</f>
      </c>
    </row>
    <row r="30" spans="1:6" x14ac:dyDescent="0.25">
      <c r="A30" s="7" t="s">
        <v>35</v>
      </c>
      <c r="F30" s="12">
        <f>SUM(F17:F28)</f>
      </c>
    </row>
    <row r="31" spans="1:6" x14ac:dyDescent="0.25">
      <c r="A31" t="s">
        <v>36</v>
      </c>
      <c r="F31" s="13">
        <f>AVERAGE(F17:F28)</f>
      </c>
    </row>
    <row r="32" spans="1:6" x14ac:dyDescent="0.25">
      <c r="A32" t="s">
        <v>37</v>
      </c>
      <c r="F32">
        <f>INDEX(A17:A28,MATCH(MIN(F17:F28),F17:F28,0))</f>
      </c>
    </row>
    <row r="33" spans="1:6" x14ac:dyDescent="0.25">
      <c r="A33" t="s">
        <v>38</v>
      </c>
      <c r="F33">
        <f>INDEX(A17:A28,MATCH(MAX(F17:F28),F17:F28,0))</f>
      </c>
    </row>
    <row r="34" spans="1:6" x14ac:dyDescent="0.25">
      <c r="A34" t="s">
        <v>39</v>
      </c>
      <c r="F34" s="13">
        <f>MAX(F17:F28)-MIN(F17:F28)</f>
      </c>
    </row>
    <row r="35" spans="1:6" x14ac:dyDescent="0.25">
      <c r="A35" t="s">
        <v>40</v>
      </c>
      <c r="F35" s="12">
        <f>SUMPRODUCT((F17:F28&lt;F31)*(F31-F17:F28))/MAX(1,COUNTIF(F17:F28,"&gt;="&amp;F31))</f>
      </c>
    </row>
    <row r="37" spans="1:1" x14ac:dyDescent="0.25">
      <c r="A37" s="2" t="s">
        <v>41</v>
      </c>
    </row>
  </sheetData>
  <dataValidations count="1">
    <dataValidation type="list" allowBlank="1" sqref="B17:B28">
      <formula1>"Slow,Normal,Busy,Peak"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 Planner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