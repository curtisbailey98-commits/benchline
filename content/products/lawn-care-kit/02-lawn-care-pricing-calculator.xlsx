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ur Numbers" state="visible" r:id="rId4"/>
    <sheet sheetId="2" name="Mow Pricing" state="visible" r:id="rId5"/>
    <sheet sheetId="3" name="Seasonal Contract" state="visible" r:id="rId6"/>
    <sheet sheetId="4" name="Route Planner" state="visible" r:id="rId7"/>
    <sheet sheetId="5" name="Rate Card" state="visible" r:id="rId8"/>
  </sheets>
  <calcPr calcId="171027" fullCalcOnLoad="1"/>
</workbook>
</file>

<file path=xl/sharedStrings.xml><?xml version="1.0" encoding="utf-8"?>
<sst xmlns="http://schemas.openxmlformats.org/spreadsheetml/2006/main" count="220" uniqueCount="168">
  <si>
    <t>Your Numbers — what you need to charge per billable hour</t>
  </si>
  <si>
    <t>Start here. Every other sheet uses the Target hourly rate from this page.</t>
  </si>
  <si>
    <t>Yellow cells are inputs — change them. Green cells are results (formulas).</t>
  </si>
  <si>
    <t>Annual take-home pay goal (what you want to pay yourself)</t>
  </si>
  <si>
    <t>Be honest — this is your salary, not the business's revenue.</t>
  </si>
  <si>
    <t>Tax set-aside (% of profit) — ask your accountant</t>
  </si>
  <si>
    <t>Annual business costs (vehicle, insurance, supplies, equipment, software, phone, marketing)</t>
  </si>
  <si>
    <t>Working weeks per year (after vacation, weather, sick days)</t>
  </si>
  <si>
    <t>Billable hours per week (paid, on-site time — not driving or quoting)</t>
  </si>
  <si>
    <t>Mowing season weeks only. Winter work (snow, holiday lights) is a bonus, not a plan.</t>
  </si>
  <si>
    <t>Profit needed before tax</t>
  </si>
  <si>
    <t>Revenue needed per year</t>
  </si>
  <si>
    <t>Billable hours per year</t>
  </si>
  <si>
    <t>Minimum hourly rate (break-even on your goal)</t>
  </si>
  <si>
    <t>Buffer for slow weeks, callbacks, and price creep (%)</t>
  </si>
  <si>
    <t>TARGET HOURLY RATE (used by the other sheets)</t>
  </si>
  <si>
    <t>Revenue needed per working week</t>
  </si>
  <si>
    <t>Mowing Price per Visit — by lot size</t>
  </si>
  <si>
    <t>Time = turf ÷ your mowing rate + trim/edge/blow + setup. Time your own routes and update the yellow cells.</t>
  </si>
  <si>
    <t>Target hourly rate</t>
  </si>
  <si>
    <t>Mowing rate (turf sq ft per hour)</t>
  </si>
  <si>
    <t>Rough guide: 21in push ~8–12k · 36in walk-behind ~20–30k · 48–52in stand-on ~45–70k (time yours)</t>
  </si>
  <si>
    <t>Trim/edge/blow minutes per 1,000 sq ft turf</t>
  </si>
  <si>
    <t>Setup minutes per stop (unload, load, gate)</t>
  </si>
  <si>
    <t>Minimum price per visit</t>
  </si>
  <si>
    <t>Round up to nearest $</t>
  </si>
  <si>
    <t>Lot</t>
  </si>
  <si>
    <t>Lot sq ft</t>
  </si>
  <si>
    <t>Turf % of lot</t>
  </si>
  <si>
    <t>Turf sq ft</t>
  </si>
  <si>
    <t>Mow min</t>
  </si>
  <si>
    <t>Trim/blow min</t>
  </si>
  <si>
    <t>Total min</t>
  </si>
  <si>
    <t>Price / visit</t>
  </si>
  <si>
    <t>Small lot</t>
  </si>
  <si>
    <t>6,000 sq ft</t>
  </si>
  <si>
    <t>8,000 sq ft</t>
  </si>
  <si>
    <t>10,000 sq ft</t>
  </si>
  <si>
    <t>13,000 sq ft</t>
  </si>
  <si>
    <t>17,000 sq ft</t>
  </si>
  <si>
    <t>1/2 acre</t>
  </si>
  <si>
    <t>3/4 acre</t>
  </si>
  <si>
    <t>1 acre</t>
  </si>
  <si>
    <t>YOUR PROPERTY →</t>
  </si>
  <si>
    <t>Biweekly uplift (longer grass takes longer)</t>
  </si>
  <si>
    <t>Your property — biweekly price</t>
  </si>
  <si>
    <t>Seasonal Contract Calculator</t>
  </si>
  <si>
    <t>Sell the season, bill it evenly. Adjust visits per month for your climate.</t>
  </si>
  <si>
    <t>Price per mowing visit</t>
  </si>
  <si>
    <t>Month</t>
  </si>
  <si>
    <t>Mow visits</t>
  </si>
  <si>
    <t>Included service</t>
  </si>
  <si>
    <t>Service price</t>
  </si>
  <si>
    <t>Month total</t>
  </si>
  <si>
    <t>Jan</t>
  </si>
  <si>
    <t/>
  </si>
  <si>
    <t>Feb</t>
  </si>
  <si>
    <t>Mar</t>
  </si>
  <si>
    <t>Spring cleanup</t>
  </si>
  <si>
    <t>Apr</t>
  </si>
  <si>
    <t>May</t>
  </si>
  <si>
    <t>Bed edging + mulch labor (2 yd)</t>
  </si>
  <si>
    <t>Jun</t>
  </si>
  <si>
    <t>Jul</t>
  </si>
  <si>
    <t>Shrub trim</t>
  </si>
  <si>
    <t>Aug</t>
  </si>
  <si>
    <t>Sep</t>
  </si>
  <si>
    <t>Core aeration + overseed</t>
  </si>
  <si>
    <t>Oct</t>
  </si>
  <si>
    <t>Fall cleanup #1</t>
  </si>
  <si>
    <t>Nov</t>
  </si>
  <si>
    <t>Fall cleanup #2 / leaves</t>
  </si>
  <si>
    <t>Dec</t>
  </si>
  <si>
    <t>Season</t>
  </si>
  <si>
    <t>Billing months (e.g. 8 for Apr–Nov, 12 for year-round)</t>
  </si>
  <si>
    <t>Monthly payment</t>
  </si>
  <si>
    <t>Prepay-in-full discount (%)</t>
  </si>
  <si>
    <t>Prepay price</t>
  </si>
  <si>
    <t>Route Planner — revenue per hour including drive time</t>
  </si>
  <si>
    <t>Example rows are placeholders — replace with your clients. Keep each day's stops in one zone.</t>
  </si>
  <si>
    <t>Client</t>
  </si>
  <si>
    <t>Service day</t>
  </si>
  <si>
    <t>Zone</t>
  </si>
  <si>
    <t>Visit price</t>
  </si>
  <si>
    <t>On-site min</t>
  </si>
  <si>
    <t>Drive min from prev.</t>
  </si>
  <si>
    <t>Example client 1</t>
  </si>
  <si>
    <t>Mon</t>
  </si>
  <si>
    <t>North</t>
  </si>
  <si>
    <t>Example client 2</t>
  </si>
  <si>
    <t>Example client 3</t>
  </si>
  <si>
    <t>Example client 4</t>
  </si>
  <si>
    <t>Example client 5</t>
  </si>
  <si>
    <t>Tue</t>
  </si>
  <si>
    <t>East</t>
  </si>
  <si>
    <t>Example client 6</t>
  </si>
  <si>
    <t>Example client 7</t>
  </si>
  <si>
    <t>West</t>
  </si>
  <si>
    <t>Day</t>
  </si>
  <si>
    <t>Stops</t>
  </si>
  <si>
    <t>Revenue</t>
  </si>
  <si>
    <t>On-site hrs</t>
  </si>
  <si>
    <t>Drive hrs</t>
  </si>
  <si>
    <t>Revenue / total hr</t>
  </si>
  <si>
    <t>Drive % of day</t>
  </si>
  <si>
    <t>vs target</t>
  </si>
  <si>
    <t>Wed</t>
  </si>
  <si>
    <t>Thu</t>
  </si>
  <si>
    <t>Fri</t>
  </si>
  <si>
    <t>Sat</t>
  </si>
  <si>
    <t>Rule of thumb: if drive time is over ~20% of the day, tighten zones before adding clients.</t>
  </si>
  <si>
    <t>Lawn Care Rate Card</t>
  </si>
  <si>
    <t>Starting ranges only — prices vary a lot by region. Replace with your local numbers.</t>
  </si>
  <si>
    <t>Category</t>
  </si>
  <si>
    <t>Item</t>
  </si>
  <si>
    <t>Unit</t>
  </si>
  <si>
    <t>Low $</t>
  </si>
  <si>
    <t>Target $</t>
  </si>
  <si>
    <t>Your price $</t>
  </si>
  <si>
    <t>Notes</t>
  </si>
  <si>
    <t>mowing</t>
  </si>
  <si>
    <t>Mow/trim/edge/blow — under 5,000 sq ft lot</t>
  </si>
  <si>
    <t>visit</t>
  </si>
  <si>
    <t>Weekly price; biweekly +15–25%</t>
  </si>
  <si>
    <t>Mow/trim/edge/blow — 5,000–10,000 sq ft</t>
  </si>
  <si>
    <t>Mow/trim/edge/blow — 10,000–15,000 sq ft</t>
  </si>
  <si>
    <t>Mow/trim/edge/blow — 1/2 acre</t>
  </si>
  <si>
    <t>Mow/trim/edge/blow — 1 acre</t>
  </si>
  <si>
    <t>Needs a 48in+ mower to be profitable</t>
  </si>
  <si>
    <t>Overgrown first cut</t>
  </si>
  <si>
    <t>percent</t>
  </si>
  <si>
    <t>Percent on top of normal visit price</t>
  </si>
  <si>
    <t>cleanup</t>
  </si>
  <si>
    <t>Spring cleanup (small yard)</t>
  </si>
  <si>
    <t>job</t>
  </si>
  <si>
    <t>Beds, sticks, first mow, edging</t>
  </si>
  <si>
    <t>Fall leaf cleanup (small yard)</t>
  </si>
  <si>
    <t>Price per visit; heavy trees = more visits</t>
  </si>
  <si>
    <t>Leaf removal hourly</t>
  </si>
  <si>
    <t>man-hour</t>
  </si>
  <si>
    <t>Plus disposal</t>
  </si>
  <si>
    <t>beds</t>
  </si>
  <si>
    <t>Bed weeding</t>
  </si>
  <si>
    <t>Mulch install (labor)</t>
  </si>
  <si>
    <t>cubic yard</t>
  </si>
  <si>
    <t>Plus mulch at cost + markup</t>
  </si>
  <si>
    <t>Bed edging (spade/redefine)</t>
  </si>
  <si>
    <t>linear ft</t>
  </si>
  <si>
    <t>shrubs</t>
  </si>
  <si>
    <t>Hedge / shrub trimming</t>
  </si>
  <si>
    <t>Or per shrub $8–$20</t>
  </si>
  <si>
    <t>turf</t>
  </si>
  <si>
    <t>Core aeration — up to 5,000 sq ft</t>
  </si>
  <si>
    <t>Rental cost if you don't own one</t>
  </si>
  <si>
    <t>Overseeding (with aeration)</t>
  </si>
  <si>
    <t>1,000 sq ft</t>
  </si>
  <si>
    <t>Seed cost extra</t>
  </si>
  <si>
    <t>Dethatching (small lawn)</t>
  </si>
  <si>
    <t>Fertilizer / weed control</t>
  </si>
  <si>
    <t>application</t>
  </si>
  <si>
    <t>Many states require a pesticide applicator license — check before offering</t>
  </si>
  <si>
    <t>misc</t>
  </si>
  <si>
    <t>Gutter cleaning — 1 story</t>
  </si>
  <si>
    <t>Storm cleanup / brush haul</t>
  </si>
  <si>
    <t>Plus dump fees</t>
  </si>
  <si>
    <t>policy</t>
  </si>
  <si>
    <t>Rain delay</t>
  </si>
  <si>
    <t>Next dry day; no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</si>
</sst>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</font>
    <font>
      <b/>
      <color rgb="FFE8A838"/>
    </font>
  </fonts>
  <fills count="5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1C20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64" fontId="0" fillId="2" borderId="0" xfId="0" applyNumberFormat="1" applyFill="1"/>
    <xf numFmtId="9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3" fontId="0" fillId="0" borderId="0" xfId="0" applyNumberFormat="1"/>
    <xf numFmtId="165" fontId="3" fillId="3" borderId="0" xfId="0" applyNumberFormat="1" applyFont="1" applyFill="1"/>
    <xf numFmtId="0" fontId="3" fillId="0" borderId="0" xfId="0" applyFont="1"/>
    <xf numFmtId="164" fontId="3" fillId="3" borderId="0" xfId="0" applyNumberFormat="1" applyFont="1" applyFill="1"/>
    <xf numFmtId="165" fontId="0" fillId="2" borderId="0" xfId="0" applyNumberFormat="1" applyFill="1"/>
    <xf numFmtId="3" fontId="0" fillId="2" borderId="0" xfId="0" applyNumberFormat="1" applyFill="1"/>
    <xf numFmtId="0" fontId="0" fillId="2" borderId="0" xfId="0" applyFill="1"/>
    <xf numFmtId="0" fontId="4" fillId="4" borderId="0" xfId="0" applyFont="1" applyFill="1" applyAlignment="1">
      <alignment vertical="center" wrapText="1"/>
    </xf>
    <xf numFmtId="1" fontId="0" fillId="0" borderId="0" xfId="0" applyNumberFormat="1"/>
    <xf numFmtId="165" fontId="0" fillId="0" borderId="0" xfId="0" applyNumberFormat="1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58" customWidth="1"/>
    <col min="2" max="2" width="18" customWidth="1"/>
    <col min="3" max="3" width="6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3" x14ac:dyDescent="0.25">
      <c r="A5" t="s">
        <v>3</v>
      </c>
      <c r="B5" s="3">
        <v>55000</v>
      </c>
      <c r="C5" t="s">
        <v>4</v>
      </c>
    </row>
    <row r="6" spans="1:2" x14ac:dyDescent="0.25">
      <c r="A6" t="s">
        <v>5</v>
      </c>
      <c r="B6" s="4">
        <v>0.25</v>
      </c>
    </row>
    <row r="7" spans="1:2" x14ac:dyDescent="0.25">
      <c r="A7" t="s">
        <v>6</v>
      </c>
      <c r="B7" s="3">
        <v>22000</v>
      </c>
    </row>
    <row r="8" spans="1:2" x14ac:dyDescent="0.25">
      <c r="A8" t="s">
        <v>7</v>
      </c>
      <c r="B8" s="5">
        <v>36</v>
      </c>
    </row>
    <row r="9" spans="1:3" x14ac:dyDescent="0.25">
      <c r="A9" t="s">
        <v>8</v>
      </c>
      <c r="B9" s="5">
        <v>35</v>
      </c>
      <c r="C9" t="s">
        <v>9</v>
      </c>
    </row>
    <row r="11" spans="1:2" x14ac:dyDescent="0.25">
      <c r="A11" t="s">
        <v>10</v>
      </c>
      <c r="B11" s="6">
        <f>B5/(1-B6)</f>
      </c>
    </row>
    <row r="12" spans="1:2" x14ac:dyDescent="0.25">
      <c r="A12" t="s">
        <v>11</v>
      </c>
      <c r="B12" s="6">
        <f>B11+B7</f>
      </c>
    </row>
    <row r="13" spans="1:2" x14ac:dyDescent="0.25">
      <c r="A13" t="s">
        <v>12</v>
      </c>
      <c r="B13" s="7">
        <f>B8*B9</f>
      </c>
    </row>
    <row r="14" spans="1:2" x14ac:dyDescent="0.25">
      <c r="A14" t="s">
        <v>13</v>
      </c>
      <c r="B14" s="8">
        <f>IF(B13&gt;0,B12/B13,0)</f>
      </c>
    </row>
    <row r="15" spans="1:2" x14ac:dyDescent="0.25">
      <c r="A15" t="s">
        <v>14</v>
      </c>
      <c r="B15" s="4">
        <v>0.15</v>
      </c>
    </row>
    <row r="16" spans="1:2" x14ac:dyDescent="0.25">
      <c r="A16" s="9" t="s">
        <v>15</v>
      </c>
      <c r="B16" s="8">
        <f>B14*(1+B15)</f>
      </c>
    </row>
    <row r="17" spans="1:2" x14ac:dyDescent="0.25">
      <c r="A17" t="s">
        <v>16</v>
      </c>
      <c r="B17" s="10">
        <f>IF(B8&gt;0,B12/B8,0)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36" customWidth="1"/>
    <col min="2" max="2" width="14" customWidth="1"/>
    <col min="3" max="3" width="12" customWidth="1"/>
    <col min="4" max="4" width="14" customWidth="1"/>
    <col min="5" max="5" width="12" customWidth="1"/>
    <col min="6" max="6" width="14" customWidth="1"/>
    <col min="7" max="7" width="12" customWidth="1"/>
    <col min="8" max="8" width="16" customWidth="1"/>
  </cols>
  <sheetData>
    <row r="1" spans="1:1" x14ac:dyDescent="0.25">
      <c r="A1" s="1" t="s">
        <v>17</v>
      </c>
    </row>
    <row r="2" spans="1:1" x14ac:dyDescent="0.25">
      <c r="A2" s="2" t="s">
        <v>18</v>
      </c>
    </row>
    <row r="3" spans="1:1" x14ac:dyDescent="0.25">
      <c r="A3" s="2" t="s">
        <v>2</v>
      </c>
    </row>
    <row r="4" spans="1:2" x14ac:dyDescent="0.25">
      <c r="A4" t="s">
        <v>19</v>
      </c>
      <c r="B4" s="11">
        <f>'Your Numbers'!$B$16</f>
      </c>
    </row>
    <row r="5" spans="1:3" x14ac:dyDescent="0.25">
      <c r="A5" t="s">
        <v>20</v>
      </c>
      <c r="B5" s="12">
        <v>20000</v>
      </c>
      <c r="C5" t="s">
        <v>21</v>
      </c>
    </row>
    <row r="6" spans="1:2" x14ac:dyDescent="0.25">
      <c r="A6" t="s">
        <v>22</v>
      </c>
      <c r="B6" s="13">
        <v>1</v>
      </c>
    </row>
    <row r="7" spans="1:2" x14ac:dyDescent="0.25">
      <c r="A7" t="s">
        <v>23</v>
      </c>
      <c r="B7" s="13">
        <v>8</v>
      </c>
    </row>
    <row r="8" spans="1:2" x14ac:dyDescent="0.25">
      <c r="A8" t="s">
        <v>24</v>
      </c>
      <c r="B8" s="3">
        <v>40</v>
      </c>
    </row>
    <row r="9" spans="1:2" x14ac:dyDescent="0.25">
      <c r="A9" t="s">
        <v>25</v>
      </c>
      <c r="B9" s="3">
        <v>5</v>
      </c>
    </row>
    <row r="11" spans="1:8" x14ac:dyDescent="0.25">
      <c r="A11" s="14" t="s">
        <v>26</v>
      </c>
      <c r="B11" s="14" t="s">
        <v>27</v>
      </c>
      <c r="C11" s="14" t="s">
        <v>28</v>
      </c>
      <c r="D11" s="14" t="s">
        <v>29</v>
      </c>
      <c r="E11" s="14" t="s">
        <v>30</v>
      </c>
      <c r="F11" s="14" t="s">
        <v>31</v>
      </c>
      <c r="G11" s="14" t="s">
        <v>32</v>
      </c>
      <c r="H11" s="14" t="s">
        <v>33</v>
      </c>
    </row>
    <row r="12" spans="1:8" x14ac:dyDescent="0.25">
      <c r="A12" t="s">
        <v>34</v>
      </c>
      <c r="B12" s="12">
        <v>4000</v>
      </c>
      <c r="C12" s="4">
        <v>0.6</v>
      </c>
      <c r="D12" s="7">
        <f>B12*C12</f>
      </c>
      <c r="E12" s="15">
        <f>D12/$B$5*60</f>
      </c>
      <c r="F12" s="15">
        <f>D12/1000*$B$6</f>
      </c>
      <c r="G12" s="15">
        <f>E12+F12+$B$7</f>
      </c>
      <c r="H12" s="8">
        <f>CEILING(MAX($B$8,G12/60*$B$4),$B$9)</f>
      </c>
    </row>
    <row r="13" spans="1:8" x14ac:dyDescent="0.25">
      <c r="A13" t="s">
        <v>35</v>
      </c>
      <c r="B13" s="12">
        <v>6000</v>
      </c>
      <c r="C13" s="4">
        <v>0.6</v>
      </c>
      <c r="D13" s="7">
        <f>B13*C13</f>
      </c>
      <c r="E13" s="15">
        <f>D13/$B$5*60</f>
      </c>
      <c r="F13" s="15">
        <f>D13/1000*$B$6</f>
      </c>
      <c r="G13" s="15">
        <f>E13+F13+$B$7</f>
      </c>
      <c r="H13" s="8">
        <f>CEILING(MAX($B$8,G13/60*$B$4),$B$9)</f>
      </c>
    </row>
    <row r="14" spans="1:8" x14ac:dyDescent="0.25">
      <c r="A14" t="s">
        <v>36</v>
      </c>
      <c r="B14" s="12">
        <v>8000</v>
      </c>
      <c r="C14" s="4">
        <v>0.65</v>
      </c>
      <c r="D14" s="7">
        <f>B14*C14</f>
      </c>
      <c r="E14" s="15">
        <f>D14/$B$5*60</f>
      </c>
      <c r="F14" s="15">
        <f>D14/1000*$B$6</f>
      </c>
      <c r="G14" s="15">
        <f>E14+F14+$B$7</f>
      </c>
      <c r="H14" s="8">
        <f>CEILING(MAX($B$8,G14/60*$B$4),$B$9)</f>
      </c>
    </row>
    <row r="15" spans="1:8" x14ac:dyDescent="0.25">
      <c r="A15" t="s">
        <v>37</v>
      </c>
      <c r="B15" s="12">
        <v>10000</v>
      </c>
      <c r="C15" s="4">
        <v>0.65</v>
      </c>
      <c r="D15" s="7">
        <f>B15*C15</f>
      </c>
      <c r="E15" s="15">
        <f>D15/$B$5*60</f>
      </c>
      <c r="F15" s="15">
        <f>D15/1000*$B$6</f>
      </c>
      <c r="G15" s="15">
        <f>E15+F15+$B$7</f>
      </c>
      <c r="H15" s="8">
        <f>CEILING(MAX($B$8,G15/60*$B$4),$B$9)</f>
      </c>
    </row>
    <row r="16" spans="1:8" x14ac:dyDescent="0.25">
      <c r="A16" t="s">
        <v>38</v>
      </c>
      <c r="B16" s="12">
        <v>13000</v>
      </c>
      <c r="C16" s="4">
        <v>0.7</v>
      </c>
      <c r="D16" s="7">
        <f>B16*C16</f>
      </c>
      <c r="E16" s="15">
        <f>D16/$B$5*60</f>
      </c>
      <c r="F16" s="15">
        <f>D16/1000*$B$6</f>
      </c>
      <c r="G16" s="15">
        <f>E16+F16+$B$7</f>
      </c>
      <c r="H16" s="8">
        <f>CEILING(MAX($B$8,G16/60*$B$4),$B$9)</f>
      </c>
    </row>
    <row r="17" spans="1:8" x14ac:dyDescent="0.25">
      <c r="A17" t="s">
        <v>39</v>
      </c>
      <c r="B17" s="12">
        <v>17000</v>
      </c>
      <c r="C17" s="4">
        <v>0.7</v>
      </c>
      <c r="D17" s="7">
        <f>B17*C17</f>
      </c>
      <c r="E17" s="15">
        <f>D17/$B$5*60</f>
      </c>
      <c r="F17" s="15">
        <f>D17/1000*$B$6</f>
      </c>
      <c r="G17" s="15">
        <f>E17+F17+$B$7</f>
      </c>
      <c r="H17" s="8">
        <f>CEILING(MAX($B$8,G17/60*$B$4),$B$9)</f>
      </c>
    </row>
    <row r="18" spans="1:8" x14ac:dyDescent="0.25">
      <c r="A18" t="s">
        <v>40</v>
      </c>
      <c r="B18" s="12">
        <v>21780</v>
      </c>
      <c r="C18" s="4">
        <v>0.75</v>
      </c>
      <c r="D18" s="7">
        <f>B18*C18</f>
      </c>
      <c r="E18" s="15">
        <f>D18/$B$5*60</f>
      </c>
      <c r="F18" s="15">
        <f>D18/1000*$B$6</f>
      </c>
      <c r="G18" s="15">
        <f>E18+F18+$B$7</f>
      </c>
      <c r="H18" s="8">
        <f>CEILING(MAX($B$8,G18/60*$B$4),$B$9)</f>
      </c>
    </row>
    <row r="19" spans="1:8" x14ac:dyDescent="0.25">
      <c r="A19" t="s">
        <v>41</v>
      </c>
      <c r="B19" s="12">
        <v>32670</v>
      </c>
      <c r="C19" s="4">
        <v>0.8</v>
      </c>
      <c r="D19" s="7">
        <f>B19*C19</f>
      </c>
      <c r="E19" s="15">
        <f>D19/$B$5*60</f>
      </c>
      <c r="F19" s="15">
        <f>D19/1000*$B$6</f>
      </c>
      <c r="G19" s="15">
        <f>E19+F19+$B$7</f>
      </c>
      <c r="H19" s="8">
        <f>CEILING(MAX($B$8,G19/60*$B$4),$B$9)</f>
      </c>
    </row>
    <row r="20" spans="1:8" x14ac:dyDescent="0.25">
      <c r="A20" t="s">
        <v>42</v>
      </c>
      <c r="B20" s="12">
        <v>43560</v>
      </c>
      <c r="C20" s="4">
        <v>0.8</v>
      </c>
      <c r="D20" s="7">
        <f>B20*C20</f>
      </c>
      <c r="E20" s="15">
        <f>D20/$B$5*60</f>
      </c>
      <c r="F20" s="15">
        <f>D20/1000*$B$6</f>
      </c>
      <c r="G20" s="15">
        <f>E20+F20+$B$7</f>
      </c>
      <c r="H20" s="8">
        <f>CEILING(MAX($B$8,G20/60*$B$4),$B$9)</f>
      </c>
    </row>
    <row r="21" spans="1:8" x14ac:dyDescent="0.25">
      <c r="A21" s="9" t="s">
        <v>43</v>
      </c>
      <c r="B21" s="12">
        <v>9000</v>
      </c>
      <c r="C21" s="4">
        <v>0.6</v>
      </c>
      <c r="D21" s="7">
        <f>B21*C21</f>
      </c>
      <c r="E21" s="15">
        <f>D21/$B$5*60</f>
      </c>
      <c r="F21" s="15">
        <f>D21/1000*$B$6</f>
      </c>
      <c r="G21" s="15">
        <f>E21+F21+$B$7</f>
      </c>
      <c r="H21" s="8">
        <f>CEILING(MAX($B$8,G21/60*$B$4),$B$9)</f>
      </c>
    </row>
    <row r="23" spans="1:2" x14ac:dyDescent="0.25">
      <c r="A23" t="s">
        <v>44</v>
      </c>
      <c r="B23" s="4">
        <v>0.2</v>
      </c>
    </row>
    <row r="24" spans="1:8" x14ac:dyDescent="0.25">
      <c r="A24" t="s">
        <v>45</v>
      </c>
      <c r="H24" s="8">
        <f>CEILING(H21*(1+B23),$B$9)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6" customWidth="1"/>
    <col min="2" max="2" width="14" customWidth="1"/>
    <col min="3" max="3" width="34" customWidth="1"/>
    <col min="4" max="4" width="14" customWidth="1"/>
    <col min="5" max="5" width="16" customWidth="1"/>
  </cols>
  <sheetData>
    <row r="1" spans="1:1" x14ac:dyDescent="0.25">
      <c r="A1" s="1" t="s">
        <v>46</v>
      </c>
    </row>
    <row r="2" spans="1:1" x14ac:dyDescent="0.25">
      <c r="A2" s="2" t="s">
        <v>47</v>
      </c>
    </row>
    <row r="3" spans="1:1" x14ac:dyDescent="0.25">
      <c r="A3" s="2" t="s">
        <v>2</v>
      </c>
    </row>
    <row r="4" spans="1:2" x14ac:dyDescent="0.25">
      <c r="A4" t="s">
        <v>48</v>
      </c>
      <c r="B4" s="11">
        <f>'Mow Pricing'!H21</f>
      </c>
    </row>
    <row r="6" spans="1:5" x14ac:dyDescent="0.25">
      <c r="A6" s="14" t="s">
        <v>49</v>
      </c>
      <c r="B6" s="14" t="s">
        <v>50</v>
      </c>
      <c r="C6" s="14" t="s">
        <v>51</v>
      </c>
      <c r="D6" s="14" t="s">
        <v>52</v>
      </c>
      <c r="E6" s="14" t="s">
        <v>53</v>
      </c>
    </row>
    <row r="7" spans="1:5" x14ac:dyDescent="0.25">
      <c r="A7" t="s">
        <v>54</v>
      </c>
      <c r="B7" s="13">
        <v>0</v>
      </c>
      <c r="C7" s="13" t="s">
        <v>55</v>
      </c>
      <c r="D7" s="11">
        <v>0</v>
      </c>
      <c r="E7" s="16">
        <f>B7*$B$4+D7</f>
      </c>
    </row>
    <row r="8" spans="1:5" x14ac:dyDescent="0.25">
      <c r="A8" t="s">
        <v>56</v>
      </c>
      <c r="B8" s="13">
        <v>0</v>
      </c>
      <c r="C8" s="13" t="s">
        <v>55</v>
      </c>
      <c r="D8" s="11">
        <v>0</v>
      </c>
      <c r="E8" s="16">
        <f>B8*$B$4+D8</f>
      </c>
    </row>
    <row r="9" spans="1:5" x14ac:dyDescent="0.25">
      <c r="A9" t="s">
        <v>57</v>
      </c>
      <c r="B9" s="13">
        <v>2</v>
      </c>
      <c r="C9" s="13" t="s">
        <v>58</v>
      </c>
      <c r="D9" s="11">
        <v>225</v>
      </c>
      <c r="E9" s="16">
        <f>B9*$B$4+D9</f>
      </c>
    </row>
    <row r="10" spans="1:5" x14ac:dyDescent="0.25">
      <c r="A10" t="s">
        <v>59</v>
      </c>
      <c r="B10" s="13">
        <v>4</v>
      </c>
      <c r="C10" s="13" t="s">
        <v>55</v>
      </c>
      <c r="D10" s="11">
        <v>0</v>
      </c>
      <c r="E10" s="16">
        <f>B10*$B$4+D10</f>
      </c>
    </row>
    <row r="11" spans="1:5" x14ac:dyDescent="0.25">
      <c r="A11" t="s">
        <v>60</v>
      </c>
      <c r="B11" s="13">
        <v>5</v>
      </c>
      <c r="C11" s="13" t="s">
        <v>61</v>
      </c>
      <c r="D11" s="11">
        <v>160</v>
      </c>
      <c r="E11" s="16">
        <f>B11*$B$4+D11</f>
      </c>
    </row>
    <row r="12" spans="1:5" x14ac:dyDescent="0.25">
      <c r="A12" t="s">
        <v>62</v>
      </c>
      <c r="B12" s="13">
        <v>4</v>
      </c>
      <c r="C12" s="13" t="s">
        <v>55</v>
      </c>
      <c r="D12" s="11">
        <v>0</v>
      </c>
      <c r="E12" s="16">
        <f>B12*$B$4+D12</f>
      </c>
    </row>
    <row r="13" spans="1:5" x14ac:dyDescent="0.25">
      <c r="A13" t="s">
        <v>63</v>
      </c>
      <c r="B13" s="13">
        <v>4</v>
      </c>
      <c r="C13" s="13" t="s">
        <v>64</v>
      </c>
      <c r="D13" s="11">
        <v>120</v>
      </c>
      <c r="E13" s="16">
        <f>B13*$B$4+D13</f>
      </c>
    </row>
    <row r="14" spans="1:5" x14ac:dyDescent="0.25">
      <c r="A14" t="s">
        <v>65</v>
      </c>
      <c r="B14" s="13">
        <v>5</v>
      </c>
      <c r="C14" s="13" t="s">
        <v>55</v>
      </c>
      <c r="D14" s="11">
        <v>0</v>
      </c>
      <c r="E14" s="16">
        <f>B14*$B$4+D14</f>
      </c>
    </row>
    <row r="15" spans="1:5" x14ac:dyDescent="0.25">
      <c r="A15" t="s">
        <v>66</v>
      </c>
      <c r="B15" s="13">
        <v>4</v>
      </c>
      <c r="C15" s="13" t="s">
        <v>67</v>
      </c>
      <c r="D15" s="11">
        <v>180</v>
      </c>
      <c r="E15" s="16">
        <f>B15*$B$4+D15</f>
      </c>
    </row>
    <row r="16" spans="1:5" x14ac:dyDescent="0.25">
      <c r="A16" t="s">
        <v>68</v>
      </c>
      <c r="B16" s="13">
        <v>4</v>
      </c>
      <c r="C16" s="13" t="s">
        <v>69</v>
      </c>
      <c r="D16" s="11">
        <v>225</v>
      </c>
      <c r="E16" s="16">
        <f>B16*$B$4+D16</f>
      </c>
    </row>
    <row r="17" spans="1:5" x14ac:dyDescent="0.25">
      <c r="A17" t="s">
        <v>70</v>
      </c>
      <c r="B17" s="13">
        <v>2</v>
      </c>
      <c r="C17" s="13" t="s">
        <v>71</v>
      </c>
      <c r="D17" s="11">
        <v>250</v>
      </c>
      <c r="E17" s="16">
        <f>B17*$B$4+D17</f>
      </c>
    </row>
    <row r="18" spans="1:5" x14ac:dyDescent="0.25">
      <c r="A18" t="s">
        <v>72</v>
      </c>
      <c r="B18" s="13">
        <v>0</v>
      </c>
      <c r="C18" s="13" t="s">
        <v>55</v>
      </c>
      <c r="D18" s="11">
        <v>0</v>
      </c>
      <c r="E18" s="16">
        <f>B18*$B$4+D18</f>
      </c>
    </row>
    <row r="19" spans="1:5" x14ac:dyDescent="0.25">
      <c r="A19" s="9" t="s">
        <v>73</v>
      </c>
      <c r="B19" s="9">
        <f>SUM(B7:B18)</f>
      </c>
      <c r="E19" s="8">
        <f>SUM(E7:E18)</f>
      </c>
    </row>
    <row r="21" spans="1:2" x14ac:dyDescent="0.25">
      <c r="A21" t="s">
        <v>74</v>
      </c>
      <c r="B21" s="13">
        <v>8</v>
      </c>
    </row>
    <row r="22" spans="1:2" x14ac:dyDescent="0.25">
      <c r="A22" t="s">
        <v>75</v>
      </c>
      <c r="B22" s="8">
        <f>CEILING(E19/B21,1)</f>
      </c>
    </row>
    <row r="23" spans="1:2" x14ac:dyDescent="0.25">
      <c r="A23" t="s">
        <v>76</v>
      </c>
      <c r="B23" s="4">
        <v>0.05</v>
      </c>
    </row>
    <row r="24" spans="1:2" x14ac:dyDescent="0.25">
      <c r="A24" t="s">
        <v>77</v>
      </c>
      <c r="B24" s="8">
        <f>CEILING(E19*(1-B23),5)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FormatPr defaultRowHeight="15" outlineLevelRow="0" outlineLevelCol="0" x14ac:dyDescent="55"/>
  <cols>
    <col min="1" max="1" width="26" customWidth="1"/>
    <col min="2" max="3" width="12" customWidth="1"/>
    <col min="4" max="5" width="14" customWidth="1"/>
    <col min="6" max="6" width="16" customWidth="1"/>
  </cols>
  <sheetData>
    <row r="1" spans="1:1" x14ac:dyDescent="0.25">
      <c r="A1" s="1" t="s">
        <v>78</v>
      </c>
    </row>
    <row r="2" spans="1:1" x14ac:dyDescent="0.25">
      <c r="A2" s="2" t="s">
        <v>79</v>
      </c>
    </row>
    <row r="3" spans="1:1" x14ac:dyDescent="0.25">
      <c r="A3" s="2" t="s">
        <v>2</v>
      </c>
    </row>
    <row r="4" spans="1:2" x14ac:dyDescent="0.25">
      <c r="A4" t="s">
        <v>19</v>
      </c>
      <c r="B4" s="11">
        <f>'Your Numbers'!$B$16</f>
      </c>
    </row>
    <row r="6" spans="1:6" x14ac:dyDescent="0.25">
      <c r="A6" s="14" t="s">
        <v>80</v>
      </c>
      <c r="B6" s="14" t="s">
        <v>81</v>
      </c>
      <c r="C6" s="14" t="s">
        <v>82</v>
      </c>
      <c r="D6" s="14" t="s">
        <v>83</v>
      </c>
      <c r="E6" s="14" t="s">
        <v>84</v>
      </c>
      <c r="F6" s="14" t="s">
        <v>85</v>
      </c>
    </row>
    <row r="7" spans="1:6" x14ac:dyDescent="0.25">
      <c r="A7" s="13" t="s">
        <v>86</v>
      </c>
      <c r="B7" s="13" t="s">
        <v>87</v>
      </c>
      <c r="C7" s="13" t="s">
        <v>88</v>
      </c>
      <c r="D7" s="11">
        <v>50</v>
      </c>
      <c r="E7" s="13">
        <v>35</v>
      </c>
      <c r="F7" s="13">
        <v>15</v>
      </c>
    </row>
    <row r="8" spans="1:6" x14ac:dyDescent="0.25">
      <c r="A8" s="13" t="s">
        <v>89</v>
      </c>
      <c r="B8" s="13" t="s">
        <v>87</v>
      </c>
      <c r="C8" s="13" t="s">
        <v>88</v>
      </c>
      <c r="D8" s="11">
        <v>55</v>
      </c>
      <c r="E8" s="13">
        <v>40</v>
      </c>
      <c r="F8" s="13">
        <v>5</v>
      </c>
    </row>
    <row r="9" spans="1:6" x14ac:dyDescent="0.25">
      <c r="A9" s="13" t="s">
        <v>90</v>
      </c>
      <c r="B9" s="13" t="s">
        <v>87</v>
      </c>
      <c r="C9" s="13" t="s">
        <v>88</v>
      </c>
      <c r="D9" s="11">
        <v>45</v>
      </c>
      <c r="E9" s="13">
        <v>30</v>
      </c>
      <c r="F9" s="13">
        <v>4</v>
      </c>
    </row>
    <row r="10" spans="1:6" x14ac:dyDescent="0.25">
      <c r="A10" s="13" t="s">
        <v>91</v>
      </c>
      <c r="B10" s="13" t="s">
        <v>87</v>
      </c>
      <c r="C10" s="13" t="s">
        <v>88</v>
      </c>
      <c r="D10" s="11">
        <v>65</v>
      </c>
      <c r="E10" s="13">
        <v>50</v>
      </c>
      <c r="F10" s="13">
        <v>6</v>
      </c>
    </row>
    <row r="11" spans="1:6" x14ac:dyDescent="0.25">
      <c r="A11" s="13" t="s">
        <v>92</v>
      </c>
      <c r="B11" s="13" t="s">
        <v>93</v>
      </c>
      <c r="C11" s="13" t="s">
        <v>94</v>
      </c>
      <c r="D11" s="11">
        <v>50</v>
      </c>
      <c r="E11" s="13">
        <v>35</v>
      </c>
      <c r="F11" s="13">
        <v>20</v>
      </c>
    </row>
    <row r="12" spans="1:6" x14ac:dyDescent="0.25">
      <c r="A12" s="13" t="s">
        <v>95</v>
      </c>
      <c r="B12" s="13" t="s">
        <v>93</v>
      </c>
      <c r="C12" s="13" t="s">
        <v>94</v>
      </c>
      <c r="D12" s="11">
        <v>60</v>
      </c>
      <c r="E12" s="13">
        <v>45</v>
      </c>
      <c r="F12" s="13">
        <v>8</v>
      </c>
    </row>
    <row r="13" spans="1:6" x14ac:dyDescent="0.25">
      <c r="A13" s="13" t="s">
        <v>96</v>
      </c>
      <c r="B13" s="13" t="s">
        <v>93</v>
      </c>
      <c r="C13" s="13" t="s">
        <v>97</v>
      </c>
      <c r="D13" s="11">
        <v>45</v>
      </c>
      <c r="E13" s="13">
        <v>30</v>
      </c>
      <c r="F13" s="13">
        <v>25</v>
      </c>
    </row>
    <row r="14" spans="1:6" x14ac:dyDescent="0.25">
      <c r="A14" s="13"/>
      <c r="B14" s="13"/>
      <c r="C14" s="13"/>
      <c r="D14" s="11"/>
      <c r="E14" s="13"/>
      <c r="F14" s="13"/>
    </row>
    <row r="15" spans="1:6" x14ac:dyDescent="0.25">
      <c r="A15" s="13"/>
      <c r="B15" s="13"/>
      <c r="C15" s="13"/>
      <c r="D15" s="11"/>
      <c r="E15" s="13"/>
      <c r="F15" s="13"/>
    </row>
    <row r="16" spans="1:6" x14ac:dyDescent="0.25">
      <c r="A16" s="13"/>
      <c r="B16" s="13"/>
      <c r="C16" s="13"/>
      <c r="D16" s="11"/>
      <c r="E16" s="13"/>
      <c r="F16" s="13"/>
    </row>
    <row r="17" spans="1:6" x14ac:dyDescent="0.25">
      <c r="A17" s="13"/>
      <c r="B17" s="13"/>
      <c r="C17" s="13"/>
      <c r="D17" s="11"/>
      <c r="E17" s="13"/>
      <c r="F17" s="13"/>
    </row>
    <row r="18" spans="1:6" x14ac:dyDescent="0.25">
      <c r="A18" s="13"/>
      <c r="B18" s="13"/>
      <c r="C18" s="13"/>
      <c r="D18" s="11"/>
      <c r="E18" s="13"/>
      <c r="F18" s="13"/>
    </row>
    <row r="19" spans="1:6" x14ac:dyDescent="0.25">
      <c r="A19" s="13"/>
      <c r="B19" s="13"/>
      <c r="C19" s="13"/>
      <c r="D19" s="11"/>
      <c r="E19" s="13"/>
      <c r="F19" s="13"/>
    </row>
    <row r="20" spans="1:6" x14ac:dyDescent="0.25">
      <c r="A20" s="13"/>
      <c r="B20" s="13"/>
      <c r="C20" s="13"/>
      <c r="D20" s="11"/>
      <c r="E20" s="13"/>
      <c r="F20" s="13"/>
    </row>
    <row r="21" spans="1:6" x14ac:dyDescent="0.25">
      <c r="A21" s="13"/>
      <c r="B21" s="13"/>
      <c r="C21" s="13"/>
      <c r="D21" s="11"/>
      <c r="E21" s="13"/>
      <c r="F21" s="13"/>
    </row>
    <row r="22" spans="1:6" x14ac:dyDescent="0.25">
      <c r="A22" s="13"/>
      <c r="B22" s="13"/>
      <c r="C22" s="13"/>
      <c r="D22" s="11"/>
      <c r="E22" s="13"/>
      <c r="F22" s="13"/>
    </row>
    <row r="23" spans="1:6" x14ac:dyDescent="0.25">
      <c r="A23" s="13"/>
      <c r="B23" s="13"/>
      <c r="C23" s="13"/>
      <c r="D23" s="11"/>
      <c r="E23" s="13"/>
      <c r="F23" s="13"/>
    </row>
    <row r="24" spans="1:6" x14ac:dyDescent="0.25">
      <c r="A24" s="13"/>
      <c r="B24" s="13"/>
      <c r="C24" s="13"/>
      <c r="D24" s="11"/>
      <c r="E24" s="13"/>
      <c r="F24" s="13"/>
    </row>
    <row r="25" spans="1:6" x14ac:dyDescent="0.25">
      <c r="A25" s="13"/>
      <c r="B25" s="13"/>
      <c r="C25" s="13"/>
      <c r="D25" s="11"/>
      <c r="E25" s="13"/>
      <c r="F25" s="13"/>
    </row>
    <row r="26" spans="1:6" x14ac:dyDescent="0.25">
      <c r="A26" s="13"/>
      <c r="B26" s="13"/>
      <c r="C26" s="13"/>
      <c r="D26" s="11"/>
      <c r="E26" s="13"/>
      <c r="F26" s="13"/>
    </row>
    <row r="27" spans="1:6" x14ac:dyDescent="0.25">
      <c r="A27" s="13"/>
      <c r="B27" s="13"/>
      <c r="C27" s="13"/>
      <c r="D27" s="11"/>
      <c r="E27" s="13"/>
      <c r="F27" s="13"/>
    </row>
    <row r="28" spans="1:6" x14ac:dyDescent="0.25">
      <c r="A28" s="13"/>
      <c r="B28" s="13"/>
      <c r="C28" s="13"/>
      <c r="D28" s="11"/>
      <c r="E28" s="13"/>
      <c r="F28" s="13"/>
    </row>
    <row r="29" spans="1:6" x14ac:dyDescent="0.25">
      <c r="A29" s="13"/>
      <c r="B29" s="13"/>
      <c r="C29" s="13"/>
      <c r="D29" s="11"/>
      <c r="E29" s="13"/>
      <c r="F29" s="13"/>
    </row>
    <row r="30" spans="1:6" x14ac:dyDescent="0.25">
      <c r="A30" s="13"/>
      <c r="B30" s="13"/>
      <c r="C30" s="13"/>
      <c r="D30" s="11"/>
      <c r="E30" s="13"/>
      <c r="F30" s="13"/>
    </row>
    <row r="31" spans="1:6" x14ac:dyDescent="0.25">
      <c r="A31" s="13"/>
      <c r="B31" s="13"/>
      <c r="C31" s="13"/>
      <c r="D31" s="11"/>
      <c r="E31" s="13"/>
      <c r="F31" s="13"/>
    </row>
    <row r="32" spans="1:6" x14ac:dyDescent="0.25">
      <c r="A32" s="13"/>
      <c r="B32" s="13"/>
      <c r="C32" s="13"/>
      <c r="D32" s="11"/>
      <c r="E32" s="13"/>
      <c r="F32" s="13"/>
    </row>
    <row r="33" spans="1:6" x14ac:dyDescent="0.25">
      <c r="A33" s="13"/>
      <c r="B33" s="13"/>
      <c r="C33" s="13"/>
      <c r="D33" s="11"/>
      <c r="E33" s="13"/>
      <c r="F33" s="13"/>
    </row>
    <row r="34" spans="1:6" x14ac:dyDescent="0.25">
      <c r="A34" s="13"/>
      <c r="B34" s="13"/>
      <c r="C34" s="13"/>
      <c r="D34" s="11"/>
      <c r="E34" s="13"/>
      <c r="F34" s="13"/>
    </row>
    <row r="35" spans="1:6" x14ac:dyDescent="0.25">
      <c r="A35" s="13"/>
      <c r="B35" s="13"/>
      <c r="C35" s="13"/>
      <c r="D35" s="11"/>
      <c r="E35" s="13"/>
      <c r="F35" s="13"/>
    </row>
    <row r="36" spans="1:6" x14ac:dyDescent="0.25">
      <c r="A36" s="13"/>
      <c r="B36" s="13"/>
      <c r="C36" s="13"/>
      <c r="D36" s="11"/>
      <c r="E36" s="13"/>
      <c r="F36" s="13"/>
    </row>
    <row r="37" spans="1:6" x14ac:dyDescent="0.25">
      <c r="A37" s="13"/>
      <c r="B37" s="13"/>
      <c r="C37" s="13"/>
      <c r="D37" s="11"/>
      <c r="E37" s="13"/>
      <c r="F37" s="13"/>
    </row>
    <row r="38" spans="1:6" x14ac:dyDescent="0.25">
      <c r="A38" s="13"/>
      <c r="B38" s="13"/>
      <c r="C38" s="13"/>
      <c r="D38" s="11"/>
      <c r="E38" s="13"/>
      <c r="F38" s="13"/>
    </row>
    <row r="39" spans="1:6" x14ac:dyDescent="0.25">
      <c r="A39" s="13"/>
      <c r="B39" s="13"/>
      <c r="C39" s="13"/>
      <c r="D39" s="11"/>
      <c r="E39" s="13"/>
      <c r="F39" s="13"/>
    </row>
    <row r="40" spans="1:6" x14ac:dyDescent="0.25">
      <c r="A40" s="13"/>
      <c r="B40" s="13"/>
      <c r="C40" s="13"/>
      <c r="D40" s="11"/>
      <c r="E40" s="13"/>
      <c r="F40" s="13"/>
    </row>
    <row r="41" spans="1:6" x14ac:dyDescent="0.25">
      <c r="A41" s="13"/>
      <c r="B41" s="13"/>
      <c r="C41" s="13"/>
      <c r="D41" s="11"/>
      <c r="E41" s="13"/>
      <c r="F41" s="13"/>
    </row>
    <row r="42" spans="1:6" x14ac:dyDescent="0.25">
      <c r="A42" s="13"/>
      <c r="B42" s="13"/>
      <c r="C42" s="13"/>
      <c r="D42" s="11"/>
      <c r="E42" s="13"/>
      <c r="F42" s="13"/>
    </row>
    <row r="43" spans="1:6" x14ac:dyDescent="0.25">
      <c r="A43" s="13"/>
      <c r="B43" s="13"/>
      <c r="C43" s="13"/>
      <c r="D43" s="11"/>
      <c r="E43" s="13"/>
      <c r="F43" s="13"/>
    </row>
    <row r="44" spans="1:6" x14ac:dyDescent="0.25">
      <c r="A44" s="13"/>
      <c r="B44" s="13"/>
      <c r="C44" s="13"/>
      <c r="D44" s="11"/>
      <c r="E44" s="13"/>
      <c r="F44" s="13"/>
    </row>
    <row r="45" spans="1:6" x14ac:dyDescent="0.25">
      <c r="A45" s="13"/>
      <c r="B45" s="13"/>
      <c r="C45" s="13"/>
      <c r="D45" s="11"/>
      <c r="E45" s="13"/>
      <c r="F45" s="13"/>
    </row>
    <row r="46" spans="1:6" x14ac:dyDescent="0.25">
      <c r="A46" s="13"/>
      <c r="B46" s="13"/>
      <c r="C46" s="13"/>
      <c r="D46" s="11"/>
      <c r="E46" s="13"/>
      <c r="F46" s="13"/>
    </row>
    <row r="49" spans="1:8" x14ac:dyDescent="0.25">
      <c r="A49" s="14" t="s">
        <v>98</v>
      </c>
      <c r="B49" s="14" t="s">
        <v>99</v>
      </c>
      <c r="C49" s="14" t="s">
        <v>100</v>
      </c>
      <c r="D49" s="14" t="s">
        <v>101</v>
      </c>
      <c r="E49" s="14" t="s">
        <v>102</v>
      </c>
      <c r="F49" s="14" t="s">
        <v>103</v>
      </c>
      <c r="G49" s="14" t="s">
        <v>104</v>
      </c>
      <c r="H49" s="14" t="s">
        <v>105</v>
      </c>
    </row>
    <row r="50" spans="1:8" x14ac:dyDescent="0.25">
      <c r="A50" t="s">
        <v>87</v>
      </c>
      <c r="B50">
        <f>COUNTIF($B$7:$B$46,A50)</f>
      </c>
      <c r="C50" s="16">
        <f>SUMIF($B$7:$B$46,A50,$D$7:$D$46)</f>
      </c>
      <c r="D50" s="17">
        <f>SUMIF($B$7:$B$46,A50,$E$7:$E$46)/60</f>
      </c>
      <c r="E50" s="17">
        <f>SUMIF($B$7:$B$46,A50,$F$7:$F$46)/60</f>
      </c>
      <c r="F50" s="8">
        <f>IF(D50+E50&gt;0,C50/(D50+E50),0)</f>
      </c>
      <c r="G50" s="18">
        <f>IF(D50+E50&gt;0,E50/(D50+E50),0)</f>
      </c>
      <c r="H50">
        <f>IF(B50=0,"",IF(F50&lt;$B$4,"Below target","OK"))</f>
      </c>
    </row>
    <row r="51" spans="1:8" x14ac:dyDescent="0.25">
      <c r="A51" t="s">
        <v>93</v>
      </c>
      <c r="B51">
        <f>COUNTIF($B$7:$B$46,A51)</f>
      </c>
      <c r="C51" s="16">
        <f>SUMIF($B$7:$B$46,A51,$D$7:$D$46)</f>
      </c>
      <c r="D51" s="17">
        <f>SUMIF($B$7:$B$46,A51,$E$7:$E$46)/60</f>
      </c>
      <c r="E51" s="17">
        <f>SUMIF($B$7:$B$46,A51,$F$7:$F$46)/60</f>
      </c>
      <c r="F51" s="8">
        <f>IF(D51+E51&gt;0,C51/(D51+E51),0)</f>
      </c>
      <c r="G51" s="18">
        <f>IF(D51+E51&gt;0,E51/(D51+E51),0)</f>
      </c>
      <c r="H51">
        <f>IF(B51=0,"",IF(F51&lt;$B$4,"Below target","OK"))</f>
      </c>
    </row>
    <row r="52" spans="1:8" x14ac:dyDescent="0.25">
      <c r="A52" t="s">
        <v>106</v>
      </c>
      <c r="B52">
        <f>COUNTIF($B$7:$B$46,A52)</f>
      </c>
      <c r="C52" s="16">
        <f>SUMIF($B$7:$B$46,A52,$D$7:$D$46)</f>
      </c>
      <c r="D52" s="17">
        <f>SUMIF($B$7:$B$46,A52,$E$7:$E$46)/60</f>
      </c>
      <c r="E52" s="17">
        <f>SUMIF($B$7:$B$46,A52,$F$7:$F$46)/60</f>
      </c>
      <c r="F52" s="8">
        <f>IF(D52+E52&gt;0,C52/(D52+E52),0)</f>
      </c>
      <c r="G52" s="18">
        <f>IF(D52+E52&gt;0,E52/(D52+E52),0)</f>
      </c>
      <c r="H52">
        <f>IF(B52=0,"",IF(F52&lt;$B$4,"Below target","OK"))</f>
      </c>
    </row>
    <row r="53" spans="1:8" x14ac:dyDescent="0.25">
      <c r="A53" t="s">
        <v>107</v>
      </c>
      <c r="B53">
        <f>COUNTIF($B$7:$B$46,A53)</f>
      </c>
      <c r="C53" s="16">
        <f>SUMIF($B$7:$B$46,A53,$D$7:$D$46)</f>
      </c>
      <c r="D53" s="17">
        <f>SUMIF($B$7:$B$46,A53,$E$7:$E$46)/60</f>
      </c>
      <c r="E53" s="17">
        <f>SUMIF($B$7:$B$46,A53,$F$7:$F$46)/60</f>
      </c>
      <c r="F53" s="8">
        <f>IF(D53+E53&gt;0,C53/(D53+E53),0)</f>
      </c>
      <c r="G53" s="18">
        <f>IF(D53+E53&gt;0,E53/(D53+E53),0)</f>
      </c>
      <c r="H53">
        <f>IF(B53=0,"",IF(F53&lt;$B$4,"Below target","OK"))</f>
      </c>
    </row>
    <row r="54" spans="1:8" x14ac:dyDescent="0.25">
      <c r="A54" t="s">
        <v>108</v>
      </c>
      <c r="B54">
        <f>COUNTIF($B$7:$B$46,A54)</f>
      </c>
      <c r="C54" s="16">
        <f>SUMIF($B$7:$B$46,A54,$D$7:$D$46)</f>
      </c>
      <c r="D54" s="17">
        <f>SUMIF($B$7:$B$46,A54,$E$7:$E$46)/60</f>
      </c>
      <c r="E54" s="17">
        <f>SUMIF($B$7:$B$46,A54,$F$7:$F$46)/60</f>
      </c>
      <c r="F54" s="8">
        <f>IF(D54+E54&gt;0,C54/(D54+E54),0)</f>
      </c>
      <c r="G54" s="18">
        <f>IF(D54+E54&gt;0,E54/(D54+E54),0)</f>
      </c>
      <c r="H54">
        <f>IF(B54=0,"",IF(F54&lt;$B$4,"Below target","OK"))</f>
      </c>
    </row>
    <row r="55" spans="1:8" x14ac:dyDescent="0.25">
      <c r="A55" t="s">
        <v>109</v>
      </c>
      <c r="B55">
        <f>COUNTIF($B$7:$B$46,A55)</f>
      </c>
      <c r="C55" s="16">
        <f>SUMIF($B$7:$B$46,A55,$D$7:$D$46)</f>
      </c>
      <c r="D55" s="17">
        <f>SUMIF($B$7:$B$46,A55,$E$7:$E$46)/60</f>
      </c>
      <c r="E55" s="17">
        <f>SUMIF($B$7:$B$46,A55,$F$7:$F$46)/60</f>
      </c>
      <c r="F55" s="8">
        <f>IF(D55+E55&gt;0,C55/(D55+E55),0)</f>
      </c>
      <c r="G55" s="18">
        <f>IF(D55+E55&gt;0,E55/(D55+E55),0)</f>
      </c>
      <c r="H55">
        <f>IF(B55=0,"",IF(F55&lt;$B$4,"Below target","OK"))</f>
      </c>
    </row>
    <row r="57" spans="1:1" x14ac:dyDescent="0.25">
      <c r="A57" t="s">
        <v>110</v>
      </c>
    </row>
  </sheetData>
  <dataValidations count="2">
    <dataValidation type="list" allowBlank="1" sqref="B10:B46">
      <formula1>"Mon,Tue,Wed,Thu,Fri,Sat"</formula1>
    </dataValidation>
    <dataValidation type="list" allowBlank="1" sqref="B7:B46">
      <formula1>"Mon,Tue,Wed,Thu,Fri,Sat"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22" customWidth="1"/>
    <col min="2" max="2" width="44" customWidth="1"/>
    <col min="3" max="3" width="14" customWidth="1"/>
    <col min="4" max="5" width="12" customWidth="1"/>
    <col min="6" max="6" width="14" customWidth="1"/>
    <col min="7" max="7" width="50" customWidth="1"/>
  </cols>
  <sheetData>
    <row r="1" spans="1:1" x14ac:dyDescent="0.25">
      <c r="A1" s="1" t="s">
        <v>111</v>
      </c>
    </row>
    <row r="2" spans="1:1" x14ac:dyDescent="0.25">
      <c r="A2" s="2" t="s">
        <v>112</v>
      </c>
    </row>
    <row r="4" spans="1:7" x14ac:dyDescent="0.25">
      <c r="A4" s="14" t="s">
        <v>113</v>
      </c>
      <c r="B4" s="14" t="s">
        <v>114</v>
      </c>
      <c r="C4" s="14" t="s">
        <v>115</v>
      </c>
      <c r="D4" s="14" t="s">
        <v>116</v>
      </c>
      <c r="E4" s="14" t="s">
        <v>117</v>
      </c>
      <c r="F4" s="14" t="s">
        <v>118</v>
      </c>
      <c r="G4" s="14" t="s">
        <v>119</v>
      </c>
    </row>
    <row r="5" spans="1:7" x14ac:dyDescent="0.25">
      <c r="A5" t="s">
        <v>120</v>
      </c>
      <c r="B5" t="s">
        <v>121</v>
      </c>
      <c r="C5" t="s">
        <v>122</v>
      </c>
      <c r="D5" s="16">
        <v>35</v>
      </c>
      <c r="E5" s="16">
        <v>50</v>
      </c>
      <c r="F5" s="11"/>
      <c r="G5" t="s">
        <v>123</v>
      </c>
    </row>
    <row r="6" spans="1:7" x14ac:dyDescent="0.25">
      <c r="A6" t="s">
        <v>120</v>
      </c>
      <c r="B6" t="s">
        <v>124</v>
      </c>
      <c r="C6" t="s">
        <v>122</v>
      </c>
      <c r="D6" s="16">
        <v>45</v>
      </c>
      <c r="E6" s="16">
        <v>65</v>
      </c>
      <c r="F6" s="11"/>
      <c r="G6" t="s">
        <v>55</v>
      </c>
    </row>
    <row r="7" spans="1:7" x14ac:dyDescent="0.25">
      <c r="A7" t="s">
        <v>120</v>
      </c>
      <c r="B7" t="s">
        <v>125</v>
      </c>
      <c r="C7" t="s">
        <v>122</v>
      </c>
      <c r="D7" s="16">
        <v>55</v>
      </c>
      <c r="E7" s="16">
        <v>80</v>
      </c>
      <c r="F7" s="11"/>
      <c r="G7" t="s">
        <v>55</v>
      </c>
    </row>
    <row r="8" spans="1:7" x14ac:dyDescent="0.25">
      <c r="A8" t="s">
        <v>120</v>
      </c>
      <c r="B8" t="s">
        <v>126</v>
      </c>
      <c r="C8" t="s">
        <v>122</v>
      </c>
      <c r="D8" s="16">
        <v>70</v>
      </c>
      <c r="E8" s="16">
        <v>100</v>
      </c>
      <c r="F8" s="11"/>
      <c r="G8" t="s">
        <v>55</v>
      </c>
    </row>
    <row r="9" spans="1:7" x14ac:dyDescent="0.25">
      <c r="A9" t="s">
        <v>120</v>
      </c>
      <c r="B9" t="s">
        <v>127</v>
      </c>
      <c r="C9" t="s">
        <v>122</v>
      </c>
      <c r="D9" s="16">
        <v>100</v>
      </c>
      <c r="E9" s="16">
        <v>160</v>
      </c>
      <c r="F9" s="11"/>
      <c r="G9" t="s">
        <v>128</v>
      </c>
    </row>
    <row r="10" spans="1:7" x14ac:dyDescent="0.25">
      <c r="A10" t="s">
        <v>120</v>
      </c>
      <c r="B10" t="s">
        <v>129</v>
      </c>
      <c r="C10" t="s">
        <v>130</v>
      </c>
      <c r="D10" s="16">
        <v>50</v>
      </c>
      <c r="E10" s="16">
        <v>100</v>
      </c>
      <c r="F10" s="11"/>
      <c r="G10" t="s">
        <v>131</v>
      </c>
    </row>
    <row r="11" spans="1:7" x14ac:dyDescent="0.25">
      <c r="A11" t="s">
        <v>132</v>
      </c>
      <c r="B11" t="s">
        <v>133</v>
      </c>
      <c r="C11" t="s">
        <v>134</v>
      </c>
      <c r="D11" s="16">
        <v>150</v>
      </c>
      <c r="E11" s="16">
        <v>275</v>
      </c>
      <c r="F11" s="11"/>
      <c r="G11" t="s">
        <v>135</v>
      </c>
    </row>
    <row r="12" spans="1:7" x14ac:dyDescent="0.25">
      <c r="A12" t="s">
        <v>132</v>
      </c>
      <c r="B12" t="s">
        <v>136</v>
      </c>
      <c r="C12" t="s">
        <v>134</v>
      </c>
      <c r="D12" s="16">
        <v>175</v>
      </c>
      <c r="E12" s="16">
        <v>350</v>
      </c>
      <c r="F12" s="11"/>
      <c r="G12" t="s">
        <v>137</v>
      </c>
    </row>
    <row r="13" spans="1:7" x14ac:dyDescent="0.25">
      <c r="A13" t="s">
        <v>132</v>
      </c>
      <c r="B13" t="s">
        <v>138</v>
      </c>
      <c r="C13" t="s">
        <v>139</v>
      </c>
      <c r="D13" s="16">
        <v>50</v>
      </c>
      <c r="E13" s="16">
        <v>75</v>
      </c>
      <c r="F13" s="11"/>
      <c r="G13" t="s">
        <v>140</v>
      </c>
    </row>
    <row r="14" spans="1:7" x14ac:dyDescent="0.25">
      <c r="A14" t="s">
        <v>141</v>
      </c>
      <c r="B14" t="s">
        <v>142</v>
      </c>
      <c r="C14" t="s">
        <v>139</v>
      </c>
      <c r="D14" s="16">
        <v>45</v>
      </c>
      <c r="E14" s="16">
        <v>65</v>
      </c>
      <c r="F14" s="11"/>
      <c r="G14" t="s">
        <v>55</v>
      </c>
    </row>
    <row r="15" spans="1:7" x14ac:dyDescent="0.25">
      <c r="A15" t="s">
        <v>141</v>
      </c>
      <c r="B15" t="s">
        <v>143</v>
      </c>
      <c r="C15" t="s">
        <v>144</v>
      </c>
      <c r="D15" s="16">
        <v>50</v>
      </c>
      <c r="E15" s="16">
        <v>90</v>
      </c>
      <c r="F15" s="11"/>
      <c r="G15" t="s">
        <v>145</v>
      </c>
    </row>
    <row r="16" spans="1:7" x14ac:dyDescent="0.25">
      <c r="A16" t="s">
        <v>141</v>
      </c>
      <c r="B16" t="s">
        <v>146</v>
      </c>
      <c r="C16" t="s">
        <v>147</v>
      </c>
      <c r="D16" s="16">
        <v>1</v>
      </c>
      <c r="E16" s="16">
        <v>2</v>
      </c>
      <c r="F16" s="11"/>
      <c r="G16" t="s">
        <v>55</v>
      </c>
    </row>
    <row r="17" spans="1:7" x14ac:dyDescent="0.25">
      <c r="A17" t="s">
        <v>148</v>
      </c>
      <c r="B17" t="s">
        <v>149</v>
      </c>
      <c r="C17" t="s">
        <v>139</v>
      </c>
      <c r="D17" s="16">
        <v>50</v>
      </c>
      <c r="E17" s="16">
        <v>75</v>
      </c>
      <c r="F17" s="11"/>
      <c r="G17" t="s">
        <v>150</v>
      </c>
    </row>
    <row r="18" spans="1:7" x14ac:dyDescent="0.25">
      <c r="A18" t="s">
        <v>151</v>
      </c>
      <c r="B18" t="s">
        <v>152</v>
      </c>
      <c r="C18" t="s">
        <v>134</v>
      </c>
      <c r="D18" s="16">
        <v>80</v>
      </c>
      <c r="E18" s="16">
        <v>130</v>
      </c>
      <c r="F18" s="11"/>
      <c r="G18" t="s">
        <v>153</v>
      </c>
    </row>
    <row r="19" spans="1:7" x14ac:dyDescent="0.25">
      <c r="A19" t="s">
        <v>151</v>
      </c>
      <c r="B19" t="s">
        <v>154</v>
      </c>
      <c r="C19" t="s">
        <v>155</v>
      </c>
      <c r="D19" s="16">
        <v>15</v>
      </c>
      <c r="E19" s="16">
        <v>30</v>
      </c>
      <c r="F19" s="11"/>
      <c r="G19" t="s">
        <v>156</v>
      </c>
    </row>
    <row r="20" spans="1:7" x14ac:dyDescent="0.25">
      <c r="A20" t="s">
        <v>151</v>
      </c>
      <c r="B20" t="s">
        <v>157</v>
      </c>
      <c r="C20" t="s">
        <v>134</v>
      </c>
      <c r="D20" s="16">
        <v>120</v>
      </c>
      <c r="E20" s="16">
        <v>220</v>
      </c>
      <c r="F20" s="11"/>
      <c r="G20" t="s">
        <v>55</v>
      </c>
    </row>
    <row r="21" spans="1:7" x14ac:dyDescent="0.25">
      <c r="A21" t="s">
        <v>151</v>
      </c>
      <c r="B21" t="s">
        <v>158</v>
      </c>
      <c r="C21" t="s">
        <v>159</v>
      </c>
      <c r="D21" s="16">
        <v>45</v>
      </c>
      <c r="E21" s="16">
        <v>75</v>
      </c>
      <c r="F21" s="11"/>
      <c r="G21" t="s">
        <v>160</v>
      </c>
    </row>
    <row r="22" spans="1:7" x14ac:dyDescent="0.25">
      <c r="A22" t="s">
        <v>161</v>
      </c>
      <c r="B22" t="s">
        <v>162</v>
      </c>
      <c r="C22" t="s">
        <v>134</v>
      </c>
      <c r="D22" s="16">
        <v>100</v>
      </c>
      <c r="E22" s="16">
        <v>175</v>
      </c>
      <c r="F22" s="11"/>
      <c r="G22" t="s">
        <v>55</v>
      </c>
    </row>
    <row r="23" spans="1:7" x14ac:dyDescent="0.25">
      <c r="A23" t="s">
        <v>161</v>
      </c>
      <c r="B23" t="s">
        <v>163</v>
      </c>
      <c r="C23" t="s">
        <v>139</v>
      </c>
      <c r="D23" s="16">
        <v>55</v>
      </c>
      <c r="E23" s="16">
        <v>80</v>
      </c>
      <c r="F23" s="11"/>
      <c r="G23" t="s">
        <v>164</v>
      </c>
    </row>
    <row r="24" spans="1:7" x14ac:dyDescent="0.25">
      <c r="A24" t="s">
        <v>165</v>
      </c>
      <c r="B24" t="s">
        <v>166</v>
      </c>
      <c r="C24" t="s">
        <v>165</v>
      </c>
      <c r="D24" s="16">
        <v>0</v>
      </c>
      <c r="E24" s="16">
        <v>0</v>
      </c>
      <c r="F24" s="11"/>
      <c r="G24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Your Numbers</vt:lpstr>
      <vt:lpstr>Mow Pricing</vt:lpstr>
      <vt:lpstr>Seasonal Contract</vt:lpstr>
      <vt:lpstr>Route Planner</vt:lpstr>
      <vt:lpstr>Rate Card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Benchline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