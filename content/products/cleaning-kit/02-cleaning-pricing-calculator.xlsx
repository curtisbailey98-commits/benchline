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Quote Builder" state="visible" r:id="rId5"/>
    <sheet sheetId="3" name="Move-Out Pricing" state="visible" r:id="rId6"/>
    <sheet sheetId="4" name="Rate Card" state="visible" r:id="rId7"/>
  </sheets>
  <calcPr calcId="171027" fullCalcOnLoad="1"/>
</workbook>
</file>

<file path=xl/sharedStrings.xml><?xml version="1.0" encoding="utf-8"?>
<sst xmlns="http://schemas.openxmlformats.org/spreadsheetml/2006/main" count="223" uniqueCount="165">
  <si>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</si>
  <si>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</si>
  <si>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</si>
  <si>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</si>
  <si>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</si>
  <si>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</si>
  <si>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</si>
  <si>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</si>
  <si>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</si>
  <si>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Most solo operators bill 25–32 hours in a 45–50 hour work week.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</si>
  <si>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</si>
  <si>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</si>
  <si>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</si>
  <si>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</si>
  <si>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</si>
  <si>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</si>
  <si>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</si>
  <si>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Cleaning Quote Builder — room-based</t>
  </si>
  <si>
    <t>Enter room counts and service type. Time benchmarks are for one experienced cleaner; time yourself and adjust.</t>
  </si>
  <si>
    <t>Target hourly rate</t>
  </si>
  <si>
    <t>Service type</t>
  </si>
  <si>
    <t>Deep</t>
  </si>
  <si>
    <t>Condition factor (1.0 tidy · 1.2 average · 1.4 heavy clutter/buildup)</t>
  </si>
  <si>
    <t>Pets that shed? (Yes/No)</t>
  </si>
  <si>
    <t>No</t>
  </si>
  <si>
    <t>Minimum job price</t>
  </si>
  <si>
    <t>Round quote up to nearest $</t>
  </si>
  <si>
    <t>Area</t>
  </si>
  <si>
    <t>Count</t>
  </si>
  <si>
    <t>Standard min each</t>
  </si>
  <si>
    <t>Deep min each</t>
  </si>
  <si>
    <t>Standard min total</t>
  </si>
  <si>
    <t>Deep min total</t>
  </si>
  <si>
    <t>Full bathroom</t>
  </si>
  <si>
    <t>Half bathroom</t>
  </si>
  <si>
    <t>Kitchen</t>
  </si>
  <si>
    <t>Bedroom</t>
  </si>
  <si>
    <t>Living / family room</t>
  </si>
  <si>
    <t>Dining room</t>
  </si>
  <si>
    <t>Office / den</t>
  </si>
  <si>
    <t>Hallway / stairs (per floor)</t>
  </si>
  <si>
    <t>Laundry room</t>
  </si>
  <si>
    <t>Entry / mudroom</t>
  </si>
  <si>
    <t>Total minutes</t>
  </si>
  <si>
    <t>Pet factor</t>
  </si>
  <si>
    <t>Estimated minutes for this visit</t>
  </si>
  <si>
    <t>Estimated hours</t>
  </si>
  <si>
    <t>Labor price (hours × rate)</t>
  </si>
  <si>
    <t>Add-on</t>
  </si>
  <si>
    <t>Qty</t>
  </si>
  <si>
    <t>Price each</t>
  </si>
  <si>
    <t>Line total</t>
  </si>
  <si>
    <t>Inside oven</t>
  </si>
  <si>
    <t>Inside refrigerator</t>
  </si>
  <si>
    <t>Interior windows (per window)</t>
  </si>
  <si>
    <t>Blinds (per blind)</t>
  </si>
  <si>
    <t>Inside kitchen cabinets</t>
  </si>
  <si>
    <t>Baseboards hand-wiped (standard visits)</t>
  </si>
  <si>
    <t>Laundry wash &amp; fold (per load)</t>
  </si>
  <si>
    <t>Change bed linens (per bed)</t>
  </si>
  <si>
    <t>Wall spot-cleaning (per room)</t>
  </si>
  <si>
    <t>Garage sweep</t>
  </si>
  <si>
    <t>Add-ons total</t>
  </si>
  <si>
    <t>QUOTED PRICE — this visit</t>
  </si>
  <si>
    <t>Effective hourly (check vs target)</t>
  </si>
  <si>
    <t>Recurring pricing (based on Standard time for these rooms)</t>
  </si>
  <si>
    <t>Frequency</t>
  </si>
  <si>
    <t>Discount</t>
  </si>
  <si>
    <t>Per-visit price</t>
  </si>
  <si>
    <t>Visits / year</t>
  </si>
  <si>
    <t>Annual value</t>
  </si>
  <si>
    <t>Weekly</t>
  </si>
  <si>
    <t>Every 2 weeks</t>
  </si>
  <si>
    <t>Every 4 weeks</t>
  </si>
  <si>
    <t>Tip: quote the first visit as Deep, then recurring at the per-visit price above.</t>
  </si>
  <si>
    <t>Move-Out / Move-In Pricing</t>
  </si>
  <si>
    <t>Quotes by square footage AND by time, then uses whichever is higher.</t>
  </si>
  <si>
    <t>Home square footage</t>
  </si>
  <si>
    <t>Condition (Light / Average / Heavy)</t>
  </si>
  <si>
    <t>Average</t>
  </si>
  <si>
    <t>Home empty of furniture? (Yes/No)</t>
  </si>
  <si>
    <t>Yes</t>
  </si>
  <si>
    <t>Minimum move-out price</t>
  </si>
  <si>
    <t>Condition</t>
  </si>
  <si>
    <t>Sq ft per hour (solo)</t>
  </si>
  <si>
    <t>Price per sq ft</t>
  </si>
  <si>
    <t>Light</t>
  </si>
  <si>
    <t>Heavy</t>
  </si>
  <si>
    <t>Estimated hours (base clean)</t>
  </si>
  <si>
    <t>Price by square footage</t>
  </si>
  <si>
    <t>Price by time</t>
  </si>
  <si>
    <t>Base price (higher of the two)</t>
  </si>
  <si>
    <t>Minutes each</t>
  </si>
  <si>
    <t>Line minutes</t>
  </si>
  <si>
    <t>Inside all cabinets &amp; drawers</t>
  </si>
  <si>
    <t>Interior windows + tracks (per window)</t>
  </si>
  <si>
    <t>Wall washing (per room)</t>
  </si>
  <si>
    <t>Balcony / patio</t>
  </si>
  <si>
    <t>QUOTED MOVE-OUT PRICE</t>
  </si>
  <si>
    <t>Total estimated hours (incl. add-ons)</t>
  </si>
  <si>
    <t>Effective hourly</t>
  </si>
  <si>
    <t>Cleaning Rate Card</t>
  </si>
  <si>
    <t>Starting ranges only — prices vary a lot by region. Replace with your local numbers.</t>
  </si>
  <si>
    <t>Category</t>
  </si>
  <si>
    <t>Item</t>
  </si>
  <si>
    <t>Unit</t>
  </si>
  <si>
    <t>Low $</t>
  </si>
  <si>
    <t>Target $</t>
  </si>
  <si>
    <t>Your price $</t>
  </si>
  <si>
    <t>Notes</t>
  </si>
  <si>
    <t>recurring</t>
  </si>
  <si>
    <t>Standard clean — 1 bed / 1 bath</t>
  </si>
  <si>
    <t>visit</t>
  </si>
  <si>
    <t>Recurring price after first visit</t>
  </si>
  <si>
    <t>Standard clean — 2 bed / 2 bath</t>
  </si>
  <si>
    <t>Most common quote; adjust for sq ft and clutter</t>
  </si>
  <si>
    <t>Standard clean — 3 bed / 2 bath</t>
  </si>
  <si>
    <t/>
  </si>
  <si>
    <t>Standard clean — 4 bed / 3 bath</t>
  </si>
  <si>
    <t>first visit</t>
  </si>
  <si>
    <t>Deep clean — 2 bed / 2 bath</t>
  </si>
  <si>
    <t>job</t>
  </si>
  <si>
    <t>Required first visit before recurring service</t>
  </si>
  <si>
    <t>Deep clean — 3 bed / 2 bath</t>
  </si>
  <si>
    <t>Deep clean — 4 bed / 3 bath</t>
  </si>
  <si>
    <t>move-out</t>
  </si>
  <si>
    <t>Move-out / move-in clean (empty home)</t>
  </si>
  <si>
    <t>sq ft</t>
  </si>
  <si>
    <t>See 11-move-out-cleaning-pricing.md</t>
  </si>
  <si>
    <t>Move-out minimum</t>
  </si>
  <si>
    <t>Never quote a move-out below this</t>
  </si>
  <si>
    <t>hourly</t>
  </si>
  <si>
    <t>Hourly rate (solo, after included scope)</t>
  </si>
  <si>
    <t>hour</t>
  </si>
  <si>
    <t>Use for clutter-heavy or undefined scope</t>
  </si>
  <si>
    <t>add-on</t>
  </si>
  <si>
    <t>each</t>
  </si>
  <si>
    <t>~30–45 min</t>
  </si>
  <si>
    <t>Ask client to empty it first</t>
  </si>
  <si>
    <t>Inside kitchen cabinets (empty)</t>
  </si>
  <si>
    <t>Interior windows (glass + sills)</t>
  </si>
  <si>
    <t>window</t>
  </si>
  <si>
    <t>Tracks extra</t>
  </si>
  <si>
    <t>Window tracks</t>
  </si>
  <si>
    <t>Blinds dusted/wiped</t>
  </si>
  <si>
    <t>blind</t>
  </si>
  <si>
    <t>Baseboards hand-wiped (whole home)</t>
  </si>
  <si>
    <t>Included in deep clean</t>
  </si>
  <si>
    <t>Wall spot-cleaning</t>
  </si>
  <si>
    <t>room</t>
  </si>
  <si>
    <t>Laundry — wash, dry, fold</t>
  </si>
  <si>
    <t>load</t>
  </si>
  <si>
    <t>Change bed linens</t>
  </si>
  <si>
    <t>bed</t>
  </si>
  <si>
    <t>Balcony / patio sweep and wipe</t>
  </si>
  <si>
    <t>surcharge</t>
  </si>
  <si>
    <t>Pet hair (heavy shedding)</t>
  </si>
  <si>
    <t>Or +10% on the visit</t>
  </si>
  <si>
    <t>Same-day / next-day booking</t>
  </si>
  <si>
    <t>percent</t>
  </si>
  <si>
    <t>Percent of the job</t>
  </si>
  <si>
    <t>policy</t>
  </si>
  <si>
    <t>Lockout / late cancellation (under 24h)</t>
  </si>
  <si>
    <t>flat</t>
  </si>
  <si>
    <t>Or 50% of the visit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</si>
</sst>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165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4" fillId="4" borderId="0" xfId="0" applyFont="1" applyFill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2" fontId="3" fillId="3" borderId="0" xfId="0" applyNumberFormat="1" applyFont="1" applyFill="1"/>
    <xf numFmtId="165" fontId="0" fillId="0" borderId="0" xfId="0" applyNumberFormat="1"/>
    <xf numFmtId="165" fontId="3" fillId="0" borderId="0" xfId="0" applyNumberFormat="1" applyFon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50000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9000</v>
      </c>
    </row>
    <row r="8" spans="1:2" x14ac:dyDescent="0.25">
      <c r="A8" t="s">
        <v>7</v>
      </c>
      <c r="B8" s="5">
        <v>48</v>
      </c>
    </row>
    <row r="9" spans="1:3" x14ac:dyDescent="0.25">
      <c r="A9" t="s">
        <v>8</v>
      </c>
      <c r="B9" s="5">
        <v>30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cols>
    <col min="1" max="1" width="40" customWidth="1"/>
    <col min="2" max="2" width="12" customWidth="1"/>
    <col min="3" max="6" width="16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5" spans="1:2" x14ac:dyDescent="0.25">
      <c r="A5" t="s">
        <v>19</v>
      </c>
      <c r="B5" s="11">
        <f>'Your Numbers'!$B$16</f>
      </c>
    </row>
    <row r="6" spans="1:2" x14ac:dyDescent="0.25">
      <c r="A6" t="s">
        <v>20</v>
      </c>
      <c r="B6" s="12" t="s">
        <v>21</v>
      </c>
    </row>
    <row r="7" spans="1:2" x14ac:dyDescent="0.25">
      <c r="A7" t="s">
        <v>22</v>
      </c>
      <c r="B7" s="13">
        <v>1</v>
      </c>
    </row>
    <row r="8" spans="1:2" x14ac:dyDescent="0.25">
      <c r="A8" t="s">
        <v>23</v>
      </c>
      <c r="B8" s="12" t="s">
        <v>24</v>
      </c>
    </row>
    <row r="9" spans="1:2" x14ac:dyDescent="0.25">
      <c r="A9" t="s">
        <v>25</v>
      </c>
      <c r="B9" s="3">
        <v>120</v>
      </c>
    </row>
    <row r="10" spans="1:2" x14ac:dyDescent="0.25">
      <c r="A10" t="s">
        <v>26</v>
      </c>
      <c r="B10" s="3">
        <v>5</v>
      </c>
    </row>
    <row r="12" spans="1:6" x14ac:dyDescent="0.25">
      <c r="A12" s="14" t="s">
        <v>27</v>
      </c>
      <c r="B12" s="14" t="s">
        <v>28</v>
      </c>
      <c r="C12" s="14" t="s">
        <v>29</v>
      </c>
      <c r="D12" s="14" t="s">
        <v>30</v>
      </c>
      <c r="E12" s="14" t="s">
        <v>31</v>
      </c>
      <c r="F12" s="14" t="s">
        <v>32</v>
      </c>
    </row>
    <row r="13" spans="1:6" x14ac:dyDescent="0.25">
      <c r="A13" t="s">
        <v>33</v>
      </c>
      <c r="B13" s="12">
        <v>2</v>
      </c>
      <c r="C13" s="12">
        <v>25</v>
      </c>
      <c r="D13" s="12">
        <v>45</v>
      </c>
      <c r="E13">
        <f>B13*C13</f>
      </c>
      <c r="F13">
        <f>B13*D13</f>
      </c>
    </row>
    <row r="14" spans="1:6" x14ac:dyDescent="0.25">
      <c r="A14" t="s">
        <v>34</v>
      </c>
      <c r="B14" s="12">
        <v>0</v>
      </c>
      <c r="C14" s="12">
        <v>12</v>
      </c>
      <c r="D14" s="12">
        <v>20</v>
      </c>
      <c r="E14">
        <f>B14*C14</f>
      </c>
      <c r="F14">
        <f>B14*D14</f>
      </c>
    </row>
    <row r="15" spans="1:6" x14ac:dyDescent="0.25">
      <c r="A15" t="s">
        <v>35</v>
      </c>
      <c r="B15" s="12">
        <v>1</v>
      </c>
      <c r="C15" s="12">
        <v>35</v>
      </c>
      <c r="D15" s="12">
        <v>75</v>
      </c>
      <c r="E15">
        <f>B15*C15</f>
      </c>
      <c r="F15">
        <f>B15*D15</f>
      </c>
    </row>
    <row r="16" spans="1:6" x14ac:dyDescent="0.25">
      <c r="A16" t="s">
        <v>36</v>
      </c>
      <c r="B16" s="12">
        <v>2</v>
      </c>
      <c r="C16" s="12">
        <v>15</v>
      </c>
      <c r="D16" s="12">
        <v>30</v>
      </c>
      <c r="E16">
        <f>B16*C16</f>
      </c>
      <c r="F16">
        <f>B16*D16</f>
      </c>
    </row>
    <row r="17" spans="1:6" x14ac:dyDescent="0.25">
      <c r="A17" t="s">
        <v>37</v>
      </c>
      <c r="B17" s="12">
        <v>1</v>
      </c>
      <c r="C17" s="12">
        <v>20</v>
      </c>
      <c r="D17" s="12">
        <v>35</v>
      </c>
      <c r="E17">
        <f>B17*C17</f>
      </c>
      <c r="F17">
        <f>B17*D17</f>
      </c>
    </row>
    <row r="18" spans="1:6" x14ac:dyDescent="0.25">
      <c r="A18" t="s">
        <v>38</v>
      </c>
      <c r="B18" s="12">
        <v>1</v>
      </c>
      <c r="C18" s="12">
        <v>10</v>
      </c>
      <c r="D18" s="12">
        <v>20</v>
      </c>
      <c r="E18">
        <f>B18*C18</f>
      </c>
      <c r="F18">
        <f>B18*D18</f>
      </c>
    </row>
    <row r="19" spans="1:6" x14ac:dyDescent="0.25">
      <c r="A19" t="s">
        <v>39</v>
      </c>
      <c r="B19" s="12">
        <v>0</v>
      </c>
      <c r="C19" s="12">
        <v>12</v>
      </c>
      <c r="D19" s="12">
        <v>25</v>
      </c>
      <c r="E19">
        <f>B19*C19</f>
      </c>
      <c r="F19">
        <f>B19*D19</f>
      </c>
    </row>
    <row r="20" spans="1:6" x14ac:dyDescent="0.25">
      <c r="A20" t="s">
        <v>40</v>
      </c>
      <c r="B20" s="12">
        <v>1</v>
      </c>
      <c r="C20" s="12">
        <v>8</v>
      </c>
      <c r="D20" s="12">
        <v>15</v>
      </c>
      <c r="E20">
        <f>B20*C20</f>
      </c>
      <c r="F20">
        <f>B20*D20</f>
      </c>
    </row>
    <row r="21" spans="1:6" x14ac:dyDescent="0.25">
      <c r="A21" t="s">
        <v>41</v>
      </c>
      <c r="B21" s="12">
        <v>1</v>
      </c>
      <c r="C21" s="12">
        <v>8</v>
      </c>
      <c r="D21" s="12">
        <v>15</v>
      </c>
      <c r="E21">
        <f>B21*C21</f>
      </c>
      <c r="F21">
        <f>B21*D21</f>
      </c>
    </row>
    <row r="22" spans="1:6" x14ac:dyDescent="0.25">
      <c r="A22" t="s">
        <v>42</v>
      </c>
      <c r="B22" s="12">
        <v>1</v>
      </c>
      <c r="C22" s="12">
        <v>5</v>
      </c>
      <c r="D22" s="12">
        <v>10</v>
      </c>
      <c r="E22">
        <f>B22*C22</f>
      </c>
      <c r="F22">
        <f>B22*D22</f>
      </c>
    </row>
    <row r="23" spans="1:6" x14ac:dyDescent="0.25">
      <c r="A23" s="9" t="s">
        <v>43</v>
      </c>
      <c r="E23" s="9">
        <f>SUM(E13:E22)</f>
      </c>
      <c r="F23" s="9">
        <f>SUM(F13:F22)</f>
      </c>
    </row>
    <row r="25" spans="1:2" x14ac:dyDescent="0.25">
      <c r="A25" t="s">
        <v>44</v>
      </c>
      <c r="B25" s="15">
        <f>IF(B8="Yes",1.1,1)</f>
      </c>
    </row>
    <row r="26" spans="1:2" x14ac:dyDescent="0.25">
      <c r="A26" t="s">
        <v>45</v>
      </c>
      <c r="B26" s="16">
        <f>IF(B6="Standard",E23,IF(B6="Deep",F23,F23*1.15))*B7*B25</f>
      </c>
    </row>
    <row r="27" spans="1:2" x14ac:dyDescent="0.25">
      <c r="A27" t="s">
        <v>46</v>
      </c>
      <c r="B27" s="17">
        <f>B26/60</f>
      </c>
    </row>
    <row r="28" spans="1:2" x14ac:dyDescent="0.25">
      <c r="A28" t="s">
        <v>47</v>
      </c>
      <c r="B28" s="18">
        <f>B27*B5</f>
      </c>
    </row>
    <row r="30" spans="1:4" x14ac:dyDescent="0.25">
      <c r="A30" s="14" t="s">
        <v>48</v>
      </c>
      <c r="B30" s="14" t="s">
        <v>49</v>
      </c>
      <c r="C30" s="14" t="s">
        <v>50</v>
      </c>
      <c r="D30" s="14" t="s">
        <v>51</v>
      </c>
    </row>
    <row r="31" spans="1:4" x14ac:dyDescent="0.25">
      <c r="A31" t="s">
        <v>52</v>
      </c>
      <c r="B31" s="12">
        <v>0</v>
      </c>
      <c r="C31" s="11">
        <v>40</v>
      </c>
      <c r="D31" s="18">
        <f>B31*C31</f>
      </c>
    </row>
    <row r="32" spans="1:4" x14ac:dyDescent="0.25">
      <c r="A32" t="s">
        <v>53</v>
      </c>
      <c r="B32" s="12">
        <v>0</v>
      </c>
      <c r="C32" s="11">
        <v>40</v>
      </c>
      <c r="D32" s="18">
        <f>B32*C32</f>
      </c>
    </row>
    <row r="33" spans="1:4" x14ac:dyDescent="0.25">
      <c r="A33" t="s">
        <v>54</v>
      </c>
      <c r="B33" s="12">
        <v>0</v>
      </c>
      <c r="C33" s="11">
        <v>6</v>
      </c>
      <c r="D33" s="18">
        <f>B33*C33</f>
      </c>
    </row>
    <row r="34" spans="1:4" x14ac:dyDescent="0.25">
      <c r="A34" t="s">
        <v>55</v>
      </c>
      <c r="B34" s="12">
        <v>0</v>
      </c>
      <c r="C34" s="11">
        <v>8</v>
      </c>
      <c r="D34" s="18">
        <f>B34*C34</f>
      </c>
    </row>
    <row r="35" spans="1:4" x14ac:dyDescent="0.25">
      <c r="A35" t="s">
        <v>56</v>
      </c>
      <c r="B35" s="12">
        <v>0</v>
      </c>
      <c r="C35" s="11">
        <v>60</v>
      </c>
      <c r="D35" s="18">
        <f>B35*C35</f>
      </c>
    </row>
    <row r="36" spans="1:4" x14ac:dyDescent="0.25">
      <c r="A36" t="s">
        <v>57</v>
      </c>
      <c r="B36" s="12">
        <v>0</v>
      </c>
      <c r="C36" s="11">
        <v>60</v>
      </c>
      <c r="D36" s="18">
        <f>B36*C36</f>
      </c>
    </row>
    <row r="37" spans="1:4" x14ac:dyDescent="0.25">
      <c r="A37" t="s">
        <v>58</v>
      </c>
      <c r="B37" s="12">
        <v>0</v>
      </c>
      <c r="C37" s="11">
        <v>25</v>
      </c>
      <c r="D37" s="18">
        <f>B37*C37</f>
      </c>
    </row>
    <row r="38" spans="1:4" x14ac:dyDescent="0.25">
      <c r="A38" t="s">
        <v>59</v>
      </c>
      <c r="B38" s="12">
        <v>0</v>
      </c>
      <c r="C38" s="11">
        <v>10</v>
      </c>
      <c r="D38" s="18">
        <f>B38*C38</f>
      </c>
    </row>
    <row r="39" spans="1:4" x14ac:dyDescent="0.25">
      <c r="A39" t="s">
        <v>60</v>
      </c>
      <c r="B39" s="12">
        <v>0</v>
      </c>
      <c r="C39" s="11">
        <v>15</v>
      </c>
      <c r="D39" s="18">
        <f>B39*C39</f>
      </c>
    </row>
    <row r="40" spans="1:4" x14ac:dyDescent="0.25">
      <c r="A40" t="s">
        <v>61</v>
      </c>
      <c r="B40" s="12">
        <v>0</v>
      </c>
      <c r="C40" s="11">
        <v>40</v>
      </c>
      <c r="D40" s="18">
        <f>B40*C40</f>
      </c>
    </row>
    <row r="41" spans="1:4" x14ac:dyDescent="0.25">
      <c r="A41" s="9" t="s">
        <v>62</v>
      </c>
      <c r="D41" s="19">
        <f>SUM(D31:D40)</f>
      </c>
    </row>
    <row r="43" spans="1:2" x14ac:dyDescent="0.25">
      <c r="A43" s="9" t="s">
        <v>63</v>
      </c>
      <c r="B43" s="8">
        <f>CEILING(MAX(B9,B28+D41),B10)</f>
      </c>
    </row>
    <row r="44" spans="1:2" x14ac:dyDescent="0.25">
      <c r="A44" t="s">
        <v>64</v>
      </c>
      <c r="B44" s="8">
        <f>IF(B27&gt;0,B43/B27,0)</f>
      </c>
    </row>
    <row r="46" spans="1:1" x14ac:dyDescent="0.25">
      <c r="A46" s="9" t="s">
        <v>65</v>
      </c>
    </row>
    <row r="47" spans="1:5" x14ac:dyDescent="0.25">
      <c r="A47" s="14" t="s">
        <v>66</v>
      </c>
      <c r="B47" s="14" t="s">
        <v>67</v>
      </c>
      <c r="C47" s="14" t="s">
        <v>68</v>
      </c>
      <c r="D47" s="14" t="s">
        <v>69</v>
      </c>
      <c r="E47" s="14" t="s">
        <v>70</v>
      </c>
    </row>
    <row r="48" spans="1:5" x14ac:dyDescent="0.25">
      <c r="A48" t="s">
        <v>71</v>
      </c>
      <c r="B48" s="4">
        <v>0.15</v>
      </c>
      <c r="C48" s="8">
        <f>CEILING(MAX($B$9,E$23*$B$7*$B$25/60*$B$5)*(1-B48),$B$10)</f>
      </c>
      <c r="D48">
        <v>52</v>
      </c>
      <c r="E48" s="6">
        <f>C48*D48</f>
      </c>
    </row>
    <row r="49" spans="1:5" x14ac:dyDescent="0.25">
      <c r="A49" t="s">
        <v>72</v>
      </c>
      <c r="B49" s="4">
        <v>0.1</v>
      </c>
      <c r="C49" s="8">
        <f>CEILING(MAX($B$9,E$23*$B$7*$B$25/60*$B$5)*(1-B49),$B$10)</f>
      </c>
      <c r="D49">
        <v>26</v>
      </c>
      <c r="E49" s="6">
        <f>C49*D49</f>
      </c>
    </row>
    <row r="50" spans="1:5" x14ac:dyDescent="0.25">
      <c r="A50" t="s">
        <v>73</v>
      </c>
      <c r="B50" s="4">
        <v>0.05</v>
      </c>
      <c r="C50" s="8">
        <f>CEILING(MAX($B$9,E$23*$B$7*$B$25/60*$B$5)*(1-B50),$B$10)</f>
      </c>
      <c r="D50">
        <v>13</v>
      </c>
      <c r="E50" s="6">
        <f>C50*D50</f>
      </c>
    </row>
    <row r="52" spans="1:1" x14ac:dyDescent="0.25">
      <c r="A52" t="s">
        <v>74</v>
      </c>
    </row>
  </sheetData>
  <dataValidations count="2">
    <dataValidation type="list" allowBlank="1" sqref="B6">
      <formula1>"Standard,Deep,Move-out"</formula1>
    </dataValidation>
    <dataValidation type="list" allowBlank="1" sqref="B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44" customWidth="1"/>
    <col min="2" max="2" width="16" customWidth="1"/>
    <col min="3" max="4" width="18" customWidth="1"/>
  </cols>
  <sheetData>
    <row r="1" spans="1:1" x14ac:dyDescent="0.25">
      <c r="A1" s="1" t="s">
        <v>75</v>
      </c>
    </row>
    <row r="2" spans="1:1" x14ac:dyDescent="0.25">
      <c r="A2" s="2" t="s">
        <v>76</v>
      </c>
    </row>
    <row r="3" spans="1:1" x14ac:dyDescent="0.25">
      <c r="A3" s="2" t="s">
        <v>2</v>
      </c>
    </row>
    <row r="5" spans="1:2" x14ac:dyDescent="0.25">
      <c r="A5" t="s">
        <v>19</v>
      </c>
      <c r="B5" s="11">
        <f>'Your Numbers'!$B$16</f>
      </c>
    </row>
    <row r="6" spans="1:2" x14ac:dyDescent="0.25">
      <c r="A6" t="s">
        <v>77</v>
      </c>
      <c r="B6" s="20">
        <v>1400</v>
      </c>
    </row>
    <row r="7" spans="1:2" x14ac:dyDescent="0.25">
      <c r="A7" t="s">
        <v>78</v>
      </c>
      <c r="B7" s="12" t="s">
        <v>79</v>
      </c>
    </row>
    <row r="8" spans="1:2" x14ac:dyDescent="0.25">
      <c r="A8" t="s">
        <v>80</v>
      </c>
      <c r="B8" s="12" t="s">
        <v>81</v>
      </c>
    </row>
    <row r="9" spans="1:2" x14ac:dyDescent="0.25">
      <c r="A9" t="s">
        <v>82</v>
      </c>
      <c r="B9" s="3">
        <v>250</v>
      </c>
    </row>
    <row r="11" spans="1:3" x14ac:dyDescent="0.25">
      <c r="A11" s="14" t="s">
        <v>83</v>
      </c>
      <c r="B11" s="14" t="s">
        <v>84</v>
      </c>
      <c r="C11" s="14" t="s">
        <v>85</v>
      </c>
    </row>
    <row r="12" spans="1:3" x14ac:dyDescent="0.25">
      <c r="A12" t="s">
        <v>86</v>
      </c>
      <c r="B12" s="12">
        <v>450</v>
      </c>
      <c r="C12" s="11">
        <v>0.2</v>
      </c>
    </row>
    <row r="13" spans="1:3" x14ac:dyDescent="0.25">
      <c r="A13" t="s">
        <v>79</v>
      </c>
      <c r="B13" s="12">
        <v>350</v>
      </c>
      <c r="C13" s="11">
        <v>0.27</v>
      </c>
    </row>
    <row r="14" spans="1:3" x14ac:dyDescent="0.25">
      <c r="A14" t="s">
        <v>87</v>
      </c>
      <c r="B14" s="12">
        <v>250</v>
      </c>
      <c r="C14" s="11">
        <v>0.38</v>
      </c>
    </row>
    <row r="16" spans="1:2" x14ac:dyDescent="0.25">
      <c r="A16" t="s">
        <v>88</v>
      </c>
      <c r="B16" s="15">
        <f>B6/VLOOKUP(B7,$A$12:$C$14,2,FALSE)*IF(B8="Yes",1,1.25)</f>
      </c>
    </row>
    <row r="17" spans="1:2" x14ac:dyDescent="0.25">
      <c r="A17" t="s">
        <v>89</v>
      </c>
      <c r="B17" s="18">
        <f>B6*VLOOKUP(B7,$A$12:$C$14,3,FALSE)</f>
      </c>
    </row>
    <row r="18" spans="1:2" x14ac:dyDescent="0.25">
      <c r="A18" t="s">
        <v>90</v>
      </c>
      <c r="B18" s="18">
        <f>B16*B5</f>
      </c>
    </row>
    <row r="19" spans="1:2" x14ac:dyDescent="0.25">
      <c r="A19" t="s">
        <v>91</v>
      </c>
      <c r="B19" s="19">
        <f>MAX(B17,B18)</f>
      </c>
    </row>
    <row r="21" spans="1:6" x14ac:dyDescent="0.25">
      <c r="A21" s="14" t="s">
        <v>48</v>
      </c>
      <c r="B21" s="14" t="s">
        <v>49</v>
      </c>
      <c r="C21" s="14" t="s">
        <v>50</v>
      </c>
      <c r="D21" s="14" t="s">
        <v>92</v>
      </c>
      <c r="E21" s="14" t="s">
        <v>51</v>
      </c>
      <c r="F21" s="14" t="s">
        <v>93</v>
      </c>
    </row>
    <row r="22" spans="1:6" x14ac:dyDescent="0.25">
      <c r="A22" t="s">
        <v>52</v>
      </c>
      <c r="B22" s="12">
        <v>1</v>
      </c>
      <c r="C22" s="11">
        <v>45</v>
      </c>
      <c r="D22" s="12">
        <v>45</v>
      </c>
      <c r="E22" s="18">
        <f>B22*C22</f>
      </c>
      <c r="F22">
        <f>B22*D22</f>
      </c>
    </row>
    <row r="23" spans="1:6" x14ac:dyDescent="0.25">
      <c r="A23" t="s">
        <v>53</v>
      </c>
      <c r="B23" s="12">
        <v>1</v>
      </c>
      <c r="C23" s="11">
        <v>40</v>
      </c>
      <c r="D23" s="12">
        <v>30</v>
      </c>
      <c r="E23" s="18">
        <f>B23*C23</f>
      </c>
      <c r="F23">
        <f>B23*D23</f>
      </c>
    </row>
    <row r="24" spans="1:6" x14ac:dyDescent="0.25">
      <c r="A24" t="s">
        <v>94</v>
      </c>
      <c r="B24" s="12">
        <v>1</v>
      </c>
      <c r="C24" s="11">
        <v>75</v>
      </c>
      <c r="D24" s="12">
        <v>60</v>
      </c>
      <c r="E24" s="18">
        <f>B24*C24</f>
      </c>
      <c r="F24">
        <f>B24*D24</f>
      </c>
    </row>
    <row r="25" spans="1:6" x14ac:dyDescent="0.25">
      <c r="A25" t="s">
        <v>95</v>
      </c>
      <c r="B25" s="12">
        <v>10</v>
      </c>
      <c r="C25" s="11">
        <v>8</v>
      </c>
      <c r="D25" s="12">
        <v>8</v>
      </c>
      <c r="E25" s="18">
        <f>B25*C25</f>
      </c>
      <c r="F25">
        <f>B25*D25</f>
      </c>
    </row>
    <row r="26" spans="1:6" x14ac:dyDescent="0.25">
      <c r="A26" t="s">
        <v>55</v>
      </c>
      <c r="B26" s="12">
        <v>0</v>
      </c>
      <c r="C26" s="11">
        <v>8</v>
      </c>
      <c r="D26" s="12">
        <v>5</v>
      </c>
      <c r="E26" s="18">
        <f>B26*C26</f>
      </c>
      <c r="F26">
        <f>B26*D26</f>
      </c>
    </row>
    <row r="27" spans="1:6" x14ac:dyDescent="0.25">
      <c r="A27" t="s">
        <v>96</v>
      </c>
      <c r="B27" s="12">
        <v>0</v>
      </c>
      <c r="C27" s="11">
        <v>25</v>
      </c>
      <c r="D27" s="12">
        <v>30</v>
      </c>
      <c r="E27" s="18">
        <f>B27*C27</f>
      </c>
      <c r="F27">
        <f>B27*D27</f>
      </c>
    </row>
    <row r="28" spans="1:6" x14ac:dyDescent="0.25">
      <c r="A28" t="s">
        <v>61</v>
      </c>
      <c r="B28" s="12">
        <v>0</v>
      </c>
      <c r="C28" s="11">
        <v>40</v>
      </c>
      <c r="D28" s="12">
        <v>30</v>
      </c>
      <c r="E28" s="18">
        <f>B28*C28</f>
      </c>
      <c r="F28">
        <f>B28*D28</f>
      </c>
    </row>
    <row r="29" spans="1:6" x14ac:dyDescent="0.25">
      <c r="A29" t="s">
        <v>97</v>
      </c>
      <c r="B29" s="12">
        <v>0</v>
      </c>
      <c r="C29" s="11">
        <v>35</v>
      </c>
      <c r="D29" s="12">
        <v>20</v>
      </c>
      <c r="E29" s="18">
        <f>B29*C29</f>
      </c>
      <c r="F29">
        <f>B29*D29</f>
      </c>
    </row>
    <row r="30" spans="1:6" x14ac:dyDescent="0.25">
      <c r="A30" s="9" t="s">
        <v>62</v>
      </c>
      <c r="E30" s="19">
        <f>SUM(E22:E29)</f>
      </c>
      <c r="F30" s="9">
        <f>SUM(F22:F29)</f>
      </c>
    </row>
    <row r="32" spans="1:2" x14ac:dyDescent="0.25">
      <c r="A32" s="9" t="s">
        <v>98</v>
      </c>
      <c r="B32" s="8">
        <f>CEILING(MAX(B9,B19+E30),5)</f>
      </c>
    </row>
    <row r="33" spans="1:2" x14ac:dyDescent="0.25">
      <c r="A33" t="s">
        <v>99</v>
      </c>
      <c r="B33" s="17">
        <f>B16+F30/60</f>
      </c>
    </row>
    <row r="34" spans="1:2" x14ac:dyDescent="0.25">
      <c r="A34" t="s">
        <v>100</v>
      </c>
      <c r="B34" s="8">
        <f>IF(B33&gt;0,B32/B33,0)</f>
      </c>
    </row>
  </sheetData>
  <dataValidations count="2">
    <dataValidation type="list" allowBlank="1" sqref="B7">
      <formula1>"Light,Average,Heavy"</formula1>
    </dataValidation>
    <dataValidation type="list" allowBlank="1" sqref="B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101</v>
      </c>
    </row>
    <row r="2" spans="1:1" x14ac:dyDescent="0.25">
      <c r="A2" s="2" t="s">
        <v>102</v>
      </c>
    </row>
    <row r="4" spans="1:7" x14ac:dyDescent="0.25">
      <c r="A4" s="14" t="s">
        <v>103</v>
      </c>
      <c r="B4" s="14" t="s">
        <v>104</v>
      </c>
      <c r="C4" s="14" t="s">
        <v>105</v>
      </c>
      <c r="D4" s="14" t="s">
        <v>106</v>
      </c>
      <c r="E4" s="14" t="s">
        <v>107</v>
      </c>
      <c r="F4" s="14" t="s">
        <v>108</v>
      </c>
      <c r="G4" s="14" t="s">
        <v>109</v>
      </c>
    </row>
    <row r="5" spans="1:7" x14ac:dyDescent="0.25">
      <c r="A5" t="s">
        <v>110</v>
      </c>
      <c r="B5" t="s">
        <v>111</v>
      </c>
      <c r="C5" t="s">
        <v>112</v>
      </c>
      <c r="D5" s="18">
        <v>100</v>
      </c>
      <c r="E5" s="18">
        <v>140</v>
      </c>
      <c r="F5" s="11"/>
      <c r="G5" t="s">
        <v>113</v>
      </c>
    </row>
    <row r="6" spans="1:7" x14ac:dyDescent="0.25">
      <c r="A6" t="s">
        <v>110</v>
      </c>
      <c r="B6" t="s">
        <v>114</v>
      </c>
      <c r="C6" t="s">
        <v>112</v>
      </c>
      <c r="D6" s="18">
        <v>130</v>
      </c>
      <c r="E6" s="18">
        <v>180</v>
      </c>
      <c r="F6" s="11"/>
      <c r="G6" t="s">
        <v>115</v>
      </c>
    </row>
    <row r="7" spans="1:7" x14ac:dyDescent="0.25">
      <c r="A7" t="s">
        <v>110</v>
      </c>
      <c r="B7" t="s">
        <v>116</v>
      </c>
      <c r="C7" t="s">
        <v>112</v>
      </c>
      <c r="D7" s="18">
        <v>160</v>
      </c>
      <c r="E7" s="18">
        <v>220</v>
      </c>
      <c r="F7" s="11"/>
      <c r="G7" t="s">
        <v>117</v>
      </c>
    </row>
    <row r="8" spans="1:7" x14ac:dyDescent="0.25">
      <c r="A8" t="s">
        <v>110</v>
      </c>
      <c r="B8" t="s">
        <v>118</v>
      </c>
      <c r="C8" t="s">
        <v>112</v>
      </c>
      <c r="D8" s="18">
        <v>200</v>
      </c>
      <c r="E8" s="18">
        <v>280</v>
      </c>
      <c r="F8" s="11"/>
      <c r="G8" t="s">
        <v>117</v>
      </c>
    </row>
    <row r="9" spans="1:7" x14ac:dyDescent="0.25">
      <c r="A9" t="s">
        <v>119</v>
      </c>
      <c r="B9" t="s">
        <v>120</v>
      </c>
      <c r="C9" t="s">
        <v>121</v>
      </c>
      <c r="D9" s="18">
        <v>250</v>
      </c>
      <c r="E9" s="18">
        <v>350</v>
      </c>
      <c r="F9" s="11"/>
      <c r="G9" t="s">
        <v>122</v>
      </c>
    </row>
    <row r="10" spans="1:7" x14ac:dyDescent="0.25">
      <c r="A10" t="s">
        <v>119</v>
      </c>
      <c r="B10" t="s">
        <v>123</v>
      </c>
      <c r="C10" t="s">
        <v>121</v>
      </c>
      <c r="D10" s="18">
        <v>300</v>
      </c>
      <c r="E10" s="18">
        <v>425</v>
      </c>
      <c r="F10" s="11"/>
      <c r="G10" t="s">
        <v>117</v>
      </c>
    </row>
    <row r="11" spans="1:7" x14ac:dyDescent="0.25">
      <c r="A11" t="s">
        <v>119</v>
      </c>
      <c r="B11" t="s">
        <v>124</v>
      </c>
      <c r="C11" t="s">
        <v>121</v>
      </c>
      <c r="D11" s="18">
        <v>375</v>
      </c>
      <c r="E11" s="18">
        <v>525</v>
      </c>
      <c r="F11" s="11"/>
      <c r="G11" t="s">
        <v>117</v>
      </c>
    </row>
    <row r="12" spans="1:7" x14ac:dyDescent="0.25">
      <c r="A12" t="s">
        <v>125</v>
      </c>
      <c r="B12" t="s">
        <v>126</v>
      </c>
      <c r="C12" t="s">
        <v>127</v>
      </c>
      <c r="D12" s="18">
        <v>0.2</v>
      </c>
      <c r="E12" s="18">
        <v>0.35</v>
      </c>
      <c r="F12" s="11"/>
      <c r="G12" t="s">
        <v>128</v>
      </c>
    </row>
    <row r="13" spans="1:7" x14ac:dyDescent="0.25">
      <c r="A13" t="s">
        <v>125</v>
      </c>
      <c r="B13" t="s">
        <v>129</v>
      </c>
      <c r="C13" t="s">
        <v>121</v>
      </c>
      <c r="D13" s="18">
        <v>250</v>
      </c>
      <c r="E13" s="18">
        <v>325</v>
      </c>
      <c r="F13" s="11"/>
      <c r="G13" t="s">
        <v>130</v>
      </c>
    </row>
    <row r="14" spans="1:7" x14ac:dyDescent="0.25">
      <c r="A14" t="s">
        <v>131</v>
      </c>
      <c r="B14" t="s">
        <v>132</v>
      </c>
      <c r="C14" t="s">
        <v>133</v>
      </c>
      <c r="D14" s="18">
        <v>45</v>
      </c>
      <c r="E14" s="18">
        <v>65</v>
      </c>
      <c r="F14" s="11"/>
      <c r="G14" t="s">
        <v>134</v>
      </c>
    </row>
    <row r="15" spans="1:7" x14ac:dyDescent="0.25">
      <c r="A15" t="s">
        <v>135</v>
      </c>
      <c r="B15" t="s">
        <v>52</v>
      </c>
      <c r="C15" t="s">
        <v>136</v>
      </c>
      <c r="D15" s="18">
        <v>30</v>
      </c>
      <c r="E15" s="18">
        <v>50</v>
      </c>
      <c r="F15" s="11"/>
      <c r="G15" t="s">
        <v>137</v>
      </c>
    </row>
    <row r="16" spans="1:7" x14ac:dyDescent="0.25">
      <c r="A16" t="s">
        <v>135</v>
      </c>
      <c r="B16" t="s">
        <v>53</v>
      </c>
      <c r="C16" t="s">
        <v>136</v>
      </c>
      <c r="D16" s="18">
        <v>30</v>
      </c>
      <c r="E16" s="18">
        <v>50</v>
      </c>
      <c r="F16" s="11"/>
      <c r="G16" t="s">
        <v>138</v>
      </c>
    </row>
    <row r="17" spans="1:7" x14ac:dyDescent="0.25">
      <c r="A17" t="s">
        <v>135</v>
      </c>
      <c r="B17" t="s">
        <v>139</v>
      </c>
      <c r="C17" t="s">
        <v>121</v>
      </c>
      <c r="D17" s="18">
        <v>50</v>
      </c>
      <c r="E17" s="18">
        <v>80</v>
      </c>
      <c r="F17" s="11"/>
      <c r="G17" t="s">
        <v>117</v>
      </c>
    </row>
    <row r="18" spans="1:7" x14ac:dyDescent="0.25">
      <c r="A18" t="s">
        <v>135</v>
      </c>
      <c r="B18" t="s">
        <v>140</v>
      </c>
      <c r="C18" t="s">
        <v>141</v>
      </c>
      <c r="D18" s="18">
        <v>5</v>
      </c>
      <c r="E18" s="18">
        <v>8</v>
      </c>
      <c r="F18" s="11"/>
      <c r="G18" t="s">
        <v>142</v>
      </c>
    </row>
    <row r="19" spans="1:7" x14ac:dyDescent="0.25">
      <c r="A19" t="s">
        <v>135</v>
      </c>
      <c r="B19" t="s">
        <v>143</v>
      </c>
      <c r="C19" t="s">
        <v>141</v>
      </c>
      <c r="D19" s="18">
        <v>3</v>
      </c>
      <c r="E19" s="18">
        <v>5</v>
      </c>
      <c r="F19" s="11"/>
      <c r="G19" t="s">
        <v>117</v>
      </c>
    </row>
    <row r="20" spans="1:7" x14ac:dyDescent="0.25">
      <c r="A20" t="s">
        <v>135</v>
      </c>
      <c r="B20" t="s">
        <v>144</v>
      </c>
      <c r="C20" t="s">
        <v>145</v>
      </c>
      <c r="D20" s="18">
        <v>5</v>
      </c>
      <c r="E20" s="18">
        <v>10</v>
      </c>
      <c r="F20" s="11"/>
      <c r="G20" t="s">
        <v>117</v>
      </c>
    </row>
    <row r="21" spans="1:7" x14ac:dyDescent="0.25">
      <c r="A21" t="s">
        <v>135</v>
      </c>
      <c r="B21" t="s">
        <v>146</v>
      </c>
      <c r="C21" t="s">
        <v>121</v>
      </c>
      <c r="D21" s="18">
        <v>40</v>
      </c>
      <c r="E21" s="18">
        <v>75</v>
      </c>
      <c r="F21" s="11"/>
      <c r="G21" t="s">
        <v>147</v>
      </c>
    </row>
    <row r="22" spans="1:7" x14ac:dyDescent="0.25">
      <c r="A22" t="s">
        <v>135</v>
      </c>
      <c r="B22" t="s">
        <v>148</v>
      </c>
      <c r="C22" t="s">
        <v>149</v>
      </c>
      <c r="D22" s="18">
        <v>10</v>
      </c>
      <c r="E22" s="18">
        <v>20</v>
      </c>
      <c r="F22" s="11"/>
      <c r="G22" t="s">
        <v>117</v>
      </c>
    </row>
    <row r="23" spans="1:7" x14ac:dyDescent="0.25">
      <c r="A23" t="s">
        <v>135</v>
      </c>
      <c r="B23" t="s">
        <v>150</v>
      </c>
      <c r="C23" t="s">
        <v>151</v>
      </c>
      <c r="D23" s="18">
        <v>20</v>
      </c>
      <c r="E23" s="18">
        <v>30</v>
      </c>
      <c r="F23" s="11"/>
      <c r="G23" t="s">
        <v>117</v>
      </c>
    </row>
    <row r="24" spans="1:7" x14ac:dyDescent="0.25">
      <c r="A24" t="s">
        <v>135</v>
      </c>
      <c r="B24" t="s">
        <v>152</v>
      </c>
      <c r="C24" t="s">
        <v>153</v>
      </c>
      <c r="D24" s="18">
        <v>8</v>
      </c>
      <c r="E24" s="18">
        <v>15</v>
      </c>
      <c r="F24" s="11"/>
      <c r="G24" t="s">
        <v>117</v>
      </c>
    </row>
    <row r="25" spans="1:7" x14ac:dyDescent="0.25">
      <c r="A25" t="s">
        <v>135</v>
      </c>
      <c r="B25" t="s">
        <v>61</v>
      </c>
      <c r="C25" t="s">
        <v>121</v>
      </c>
      <c r="D25" s="18">
        <v>35</v>
      </c>
      <c r="E25" s="18">
        <v>60</v>
      </c>
      <c r="F25" s="11"/>
      <c r="G25" t="s">
        <v>117</v>
      </c>
    </row>
    <row r="26" spans="1:7" x14ac:dyDescent="0.25">
      <c r="A26" t="s">
        <v>135</v>
      </c>
      <c r="B26" t="s">
        <v>154</v>
      </c>
      <c r="C26" t="s">
        <v>121</v>
      </c>
      <c r="D26" s="18">
        <v>25</v>
      </c>
      <c r="E26" s="18">
        <v>45</v>
      </c>
      <c r="F26" s="11"/>
      <c r="G26" t="s">
        <v>117</v>
      </c>
    </row>
    <row r="27" spans="1:7" x14ac:dyDescent="0.25">
      <c r="A27" t="s">
        <v>155</v>
      </c>
      <c r="B27" t="s">
        <v>156</v>
      </c>
      <c r="C27" t="s">
        <v>112</v>
      </c>
      <c r="D27" s="18">
        <v>15</v>
      </c>
      <c r="E27" s="18">
        <v>30</v>
      </c>
      <c r="F27" s="11"/>
      <c r="G27" t="s">
        <v>157</v>
      </c>
    </row>
    <row r="28" spans="1:7" x14ac:dyDescent="0.25">
      <c r="A28" t="s">
        <v>155</v>
      </c>
      <c r="B28" t="s">
        <v>158</v>
      </c>
      <c r="C28" t="s">
        <v>159</v>
      </c>
      <c r="D28" s="18">
        <v>20</v>
      </c>
      <c r="E28" s="18">
        <v>30</v>
      </c>
      <c r="F28" s="11"/>
      <c r="G28" t="s">
        <v>160</v>
      </c>
    </row>
    <row r="29" spans="1:7" x14ac:dyDescent="0.25">
      <c r="A29" t="s">
        <v>161</v>
      </c>
      <c r="B29" t="s">
        <v>162</v>
      </c>
      <c r="C29" t="s">
        <v>163</v>
      </c>
      <c r="D29" s="18">
        <v>50</v>
      </c>
      <c r="E29" s="18">
        <v>75</v>
      </c>
      <c r="F29" s="11"/>
      <c r="G29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Your Numbers</vt:lpstr>
      <vt:lpstr>Quote Builder</vt:lpstr>
      <vt:lpstr>Move-Out Pricing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