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ur Numbers" state="visible" r:id="rId4"/>
    <sheet sheetId="2" name="Package Menu" state="visible" r:id="rId5"/>
    <sheet sheetId="3" name="Quote Builder" state="visible" r:id="rId6"/>
    <sheet sheetId="4" name="Rate Card" state="visible" r:id="rId7"/>
  </sheets>
  <calcPr calcId="171027" fullCalcOnLoad="1"/>
</workbook>
</file>

<file path=xl/sharedStrings.xml><?xml version="1.0" encoding="utf-8"?>
<sst xmlns="http://schemas.openxmlformats.org/spreadsheetml/2006/main" count="183" uniqueCount="100">
  <si>
    <t>Your Numbers — what you need to charge per billable hour</t>
  </si>
  <si>
    <t>Start here. Every other sheet uses the Target hourly rate from this page.</t>
  </si>
  <si>
    <t>Yellow cells are inputs — change them. Green cells are results (formulas).</t>
  </si>
  <si>
    <t>Annual take-home pay goal (what you want to pay yourself)</t>
  </si>
  <si>
    <t>Be honest — this is your salary, not the business's revenue.</t>
  </si>
  <si>
    <t>Tax set-aside (% of profit) — ask your accountant</t>
  </si>
  <si>
    <t>Annual business costs (vehicle, insurance, supplies, equipment, software, phone, marketing)</t>
  </si>
  <si>
    <t>Working weeks per year (after vacation, weather, sick days)</t>
  </si>
  <si>
    <t>Billable hours per week (paid, on-site time — not driving or quoting)</t>
  </si>
  <si>
    <t>Most solo operators bill 25–32 hours in a 45–50 hour work week.</t>
  </si>
  <si>
    <t>Profit needed before tax</t>
  </si>
  <si>
    <t>Revenue needed per year</t>
  </si>
  <si>
    <t>Billable hours per year</t>
  </si>
  <si>
    <t>Minimum hourly rate (break-even on your goal)</t>
  </si>
  <si>
    <t>Buffer for slow weeks, callbacks, and price creep (%)</t>
  </si>
  <si>
    <t>TARGET HOURLY RATE (used by the other sheets)</t>
  </si>
  <si>
    <t>Revenue needed per working week</t>
  </si>
  <si>
    <t>Detail Package Menu — base prices (sedan)</t>
  </si>
  <si>
    <t>Edit to match your menu. Size and condition multipliers apply to price AND time.</t>
  </si>
  <si>
    <t>Package</t>
  </si>
  <si>
    <t>Base price</t>
  </si>
  <si>
    <t>Base hours</t>
  </si>
  <si>
    <t>Includes</t>
  </si>
  <si>
    <t>Maintenance wash</t>
  </si>
  <si>
    <t>Hand wash, wheels/tires, windows, quick vacuum, wipe-down</t>
  </si>
  <si>
    <t>Interior detail</t>
  </si>
  <si>
    <t>Full vacuum, plastics, leather/fabric clean, glass, door jambs</t>
  </si>
  <si>
    <t>Exterior detail</t>
  </si>
  <si>
    <t>Foam wash, decon, wheels/wells, spray sealant, tire dressing</t>
  </si>
  <si>
    <t>Full detail</t>
  </si>
  <si>
    <t>Interior detail + exterior detail</t>
  </si>
  <si>
    <t>Paint enhancement</t>
  </si>
  <si>
    <t>Full detail exterior + 1-step polish + sealant</t>
  </si>
  <si>
    <t>Ceramic coating (trained only)</t>
  </si>
  <si>
    <t>Decon + polish + coating install; price by product</t>
  </si>
  <si>
    <t>Vehicle size</t>
  </si>
  <si>
    <t>Multiplier</t>
  </si>
  <si>
    <t>Coupe / sedan</t>
  </si>
  <si>
    <t>Small SUV / crossover</t>
  </si>
  <si>
    <t>Mid-size SUV / crew-cab pickup</t>
  </si>
  <si>
    <t>Full-size SUV / minivan / 3-row</t>
  </si>
  <si>
    <t>Oversized / work van</t>
  </si>
  <si>
    <t>Condition</t>
  </si>
  <si>
    <t>Normal</t>
  </si>
  <si>
    <t>Dirty</t>
  </si>
  <si>
    <t>Extreme</t>
  </si>
  <si>
    <t>Mobile Detailing Quote Builder</t>
  </si>
  <si>
    <t>Pick package, size, condition, add-ons.</t>
  </si>
  <si>
    <t>Target hourly rate</t>
  </si>
  <si>
    <t>Travel fee (outside free radius)</t>
  </si>
  <si>
    <t>Size multiplier</t>
  </si>
  <si>
    <t>Condition multiplier</t>
  </si>
  <si>
    <t>Package price (adjusted)</t>
  </si>
  <si>
    <t>Package hours (adjusted)</t>
  </si>
  <si>
    <t>Add-on</t>
  </si>
  <si>
    <t>Qty (0/1)</t>
  </si>
  <si>
    <t>Price</t>
  </si>
  <si>
    <t>Hours</t>
  </si>
  <si>
    <t>Line $</t>
  </si>
  <si>
    <t>Line hrs</t>
  </si>
  <si>
    <t>Pet hair removal</t>
  </si>
  <si>
    <t>Seat shampoo / hot-water extraction</t>
  </si>
  <si>
    <t>Carpet &amp; mat extraction</t>
  </si>
  <si>
    <t>Leather clean &amp; condition</t>
  </si>
  <si>
    <t>Engine bay clean</t>
  </si>
  <si>
    <t>Headlight restoration (pair)</t>
  </si>
  <si>
    <t>Odor treatment (enzyme + ozone)</t>
  </si>
  <si>
    <t>Clay bar + iron decon (add to wash)</t>
  </si>
  <si>
    <t>Sand / salt / heavy soil surcharge</t>
  </si>
  <si>
    <t>QUOTED PRICE</t>
  </si>
  <si>
    <t>Estimated hours</t>
  </si>
  <si>
    <t>Effective hourly</t>
  </si>
  <si>
    <t>Status</t>
  </si>
  <si>
    <t>Mobile Detailing Rate Card</t>
  </si>
  <si>
    <t>Starting ranges only — prices vary a lot by region. Replace with your local numbers.</t>
  </si>
  <si>
    <t>Category</t>
  </si>
  <si>
    <t>Item</t>
  </si>
  <si>
    <t>Unit</t>
  </si>
  <si>
    <t>Low $</t>
  </si>
  <si>
    <t>Target $</t>
  </si>
  <si>
    <t>Your price $</t>
  </si>
  <si>
    <t>Notes</t>
  </si>
  <si>
    <t>package (sedan)</t>
  </si>
  <si>
    <t>vehicle</t>
  </si>
  <si>
    <t>size multiplier</t>
  </si>
  <si>
    <t>multiplier</t>
  </si>
  <si>
    <t/>
  </si>
  <si>
    <t>Multiply package price by 1.15</t>
  </si>
  <si>
    <t>Multiply package price by 1.25</t>
  </si>
  <si>
    <t>Multiply package price by 1.4</t>
  </si>
  <si>
    <t>Multiply package price by 1.6</t>
  </si>
  <si>
    <t>add-on</t>
  </si>
  <si>
    <t>each</t>
  </si>
  <si>
    <t>policy</t>
  </si>
  <si>
    <t>Travel fee beyond free radius</t>
  </si>
  <si>
    <t>trip</t>
  </si>
  <si>
    <t>Free radius typically 10–15 miles</t>
  </si>
  <si>
    <t>Maintenance plan (every 2–4 weeks)</t>
  </si>
  <si>
    <t>visit</t>
  </si>
  <si>
    <t>Only after an initial full or interior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</si>
</sst>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</font>
    <font>
      <b/>
      <color rgb="FFE8A838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1C20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0" xfId="0" applyNumberFormat="1" applyFill="1"/>
    <xf numFmtId="9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3" fontId="0" fillId="0" borderId="0" xfId="0" applyNumberFormat="1"/>
    <xf numFmtId="165" fontId="3" fillId="3" borderId="0" xfId="0" applyNumberFormat="1" applyFont="1" applyFill="1"/>
    <xf numFmtId="0" fontId="3" fillId="0" borderId="0" xfId="0" applyFont="1"/>
    <xf numFmtId="164" fontId="3" fillId="3" borderId="0" xfId="0" applyNumberFormat="1" applyFont="1" applyFill="1"/>
    <xf numFmtId="0" fontId="4" fillId="4" borderId="0" xfId="0" applyFont="1" applyFill="1" applyAlignment="1">
      <alignment vertical="center" wrapText="1"/>
    </xf>
    <xf numFmtId="165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2" fontId="0" fillId="0" borderId="0" xfId="0" applyNumberFormat="1"/>
    <xf numFmtId="165" fontId="0" fillId="0" borderId="0" xfId="0" applyNumberFormat="1"/>
    <xf numFmtId="2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58" customWidth="1"/>
    <col min="2" max="2" width="18" customWidth="1"/>
    <col min="3" max="3" width="6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3" x14ac:dyDescent="0.25">
      <c r="A5" t="s">
        <v>3</v>
      </c>
      <c r="B5" s="3">
        <v>50000</v>
      </c>
      <c r="C5" t="s">
        <v>4</v>
      </c>
    </row>
    <row r="6" spans="1:2" x14ac:dyDescent="0.25">
      <c r="A6" t="s">
        <v>5</v>
      </c>
      <c r="B6" s="4">
        <v>0.25</v>
      </c>
    </row>
    <row r="7" spans="1:2" x14ac:dyDescent="0.25">
      <c r="A7" t="s">
        <v>6</v>
      </c>
      <c r="B7" s="3">
        <v>14000</v>
      </c>
    </row>
    <row r="8" spans="1:2" x14ac:dyDescent="0.25">
      <c r="A8" t="s">
        <v>7</v>
      </c>
      <c r="B8" s="5">
        <v>46</v>
      </c>
    </row>
    <row r="9" spans="1:3" x14ac:dyDescent="0.25">
      <c r="A9" t="s">
        <v>8</v>
      </c>
      <c r="B9" s="5">
        <v>28</v>
      </c>
      <c r="C9" t="s">
        <v>9</v>
      </c>
    </row>
    <row r="11" spans="1:2" x14ac:dyDescent="0.25">
      <c r="A11" t="s">
        <v>10</v>
      </c>
      <c r="B11" s="6">
        <f>B5/(1-B6)</f>
      </c>
    </row>
    <row r="12" spans="1:2" x14ac:dyDescent="0.25">
      <c r="A12" t="s">
        <v>11</v>
      </c>
      <c r="B12" s="6">
        <f>B11+B7</f>
      </c>
    </row>
    <row r="13" spans="1:2" x14ac:dyDescent="0.25">
      <c r="A13" t="s">
        <v>12</v>
      </c>
      <c r="B13" s="7">
        <f>B8*B9</f>
      </c>
    </row>
    <row r="14" spans="1:2" x14ac:dyDescent="0.25">
      <c r="A14" t="s">
        <v>13</v>
      </c>
      <c r="B14" s="8">
        <f>IF(B13&gt;0,B12/B13,0)</f>
      </c>
    </row>
    <row r="15" spans="1:2" x14ac:dyDescent="0.25">
      <c r="A15" t="s">
        <v>14</v>
      </c>
      <c r="B15" s="4">
        <v>0.15</v>
      </c>
    </row>
    <row r="16" spans="1:2" x14ac:dyDescent="0.25">
      <c r="A16" s="9" t="s">
        <v>15</v>
      </c>
      <c r="B16" s="8">
        <f>B14*(1+B15)</f>
      </c>
    </row>
    <row r="17" spans="1:2" x14ac:dyDescent="0.25">
      <c r="A17" t="s">
        <v>16</v>
      </c>
      <c r="B17" s="10">
        <f>IF(B8&gt;0,B12/B8,0)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6" customWidth="1"/>
    <col min="2" max="2" width="14" customWidth="1"/>
    <col min="3" max="3" width="12" customWidth="1"/>
    <col min="4" max="4" width="64" customWidth="1"/>
  </cols>
  <sheetData>
    <row r="1" spans="1:1" x14ac:dyDescent="0.25">
      <c r="A1" s="1" t="s">
        <v>17</v>
      </c>
    </row>
    <row r="2" spans="1:1" x14ac:dyDescent="0.25">
      <c r="A2" s="2" t="s">
        <v>18</v>
      </c>
    </row>
    <row r="3" spans="1:1" x14ac:dyDescent="0.25">
      <c r="A3" s="2" t="s">
        <v>2</v>
      </c>
    </row>
    <row r="5" spans="1:4" x14ac:dyDescent="0.25">
      <c r="A5" s="11" t="s">
        <v>19</v>
      </c>
      <c r="B5" s="11" t="s">
        <v>20</v>
      </c>
      <c r="C5" s="11" t="s">
        <v>21</v>
      </c>
      <c r="D5" s="11" t="s">
        <v>22</v>
      </c>
    </row>
    <row r="6" spans="1:4" x14ac:dyDescent="0.25">
      <c r="A6" t="s">
        <v>23</v>
      </c>
      <c r="B6" s="12">
        <v>75</v>
      </c>
      <c r="C6" s="13">
        <v>1</v>
      </c>
      <c r="D6" t="s">
        <v>24</v>
      </c>
    </row>
    <row r="7" spans="1:4" x14ac:dyDescent="0.25">
      <c r="A7" t="s">
        <v>25</v>
      </c>
      <c r="B7" s="12">
        <v>185</v>
      </c>
      <c r="C7" s="13">
        <v>2.5</v>
      </c>
      <c r="D7" t="s">
        <v>26</v>
      </c>
    </row>
    <row r="8" spans="1:4" x14ac:dyDescent="0.25">
      <c r="A8" t="s">
        <v>27</v>
      </c>
      <c r="B8" s="12">
        <v>150</v>
      </c>
      <c r="C8" s="13">
        <v>2</v>
      </c>
      <c r="D8" t="s">
        <v>28</v>
      </c>
    </row>
    <row r="9" spans="1:4" x14ac:dyDescent="0.25">
      <c r="A9" t="s">
        <v>29</v>
      </c>
      <c r="B9" s="12">
        <v>295</v>
      </c>
      <c r="C9" s="13">
        <v>4</v>
      </c>
      <c r="D9" t="s">
        <v>30</v>
      </c>
    </row>
    <row r="10" spans="1:4" x14ac:dyDescent="0.25">
      <c r="A10" t="s">
        <v>31</v>
      </c>
      <c r="B10" s="12">
        <v>450</v>
      </c>
      <c r="C10" s="13">
        <v>6</v>
      </c>
      <c r="D10" t="s">
        <v>32</v>
      </c>
    </row>
    <row r="11" spans="1:4" x14ac:dyDescent="0.25">
      <c r="A11" t="s">
        <v>33</v>
      </c>
      <c r="B11" s="12">
        <v>900</v>
      </c>
      <c r="C11" s="13">
        <v>10</v>
      </c>
      <c r="D11" t="s">
        <v>34</v>
      </c>
    </row>
    <row r="13" spans="1:2" x14ac:dyDescent="0.25">
      <c r="A13" s="11" t="s">
        <v>35</v>
      </c>
      <c r="B13" s="11" t="s">
        <v>36</v>
      </c>
    </row>
    <row r="14" spans="1:2" x14ac:dyDescent="0.25">
      <c r="A14" t="s">
        <v>37</v>
      </c>
      <c r="B14" s="13">
        <v>1</v>
      </c>
    </row>
    <row r="15" spans="1:2" x14ac:dyDescent="0.25">
      <c r="A15" t="s">
        <v>38</v>
      </c>
      <c r="B15" s="13">
        <v>1.15</v>
      </c>
    </row>
    <row r="16" spans="1:2" x14ac:dyDescent="0.25">
      <c r="A16" t="s">
        <v>39</v>
      </c>
      <c r="B16" s="13">
        <v>1.25</v>
      </c>
    </row>
    <row r="17" spans="1:2" x14ac:dyDescent="0.25">
      <c r="A17" t="s">
        <v>40</v>
      </c>
      <c r="B17" s="13">
        <v>1.4</v>
      </c>
    </row>
    <row r="18" spans="1:2" x14ac:dyDescent="0.25">
      <c r="A18" t="s">
        <v>41</v>
      </c>
      <c r="B18" s="13">
        <v>1.6</v>
      </c>
    </row>
    <row r="20" spans="1:2" x14ac:dyDescent="0.25">
      <c r="A20" s="11" t="s">
        <v>42</v>
      </c>
      <c r="B20" s="11" t="s">
        <v>36</v>
      </c>
    </row>
    <row r="21" spans="1:2" x14ac:dyDescent="0.25">
      <c r="A21" t="s">
        <v>43</v>
      </c>
      <c r="B21" s="13">
        <v>1</v>
      </c>
    </row>
    <row r="22" spans="1:2" x14ac:dyDescent="0.25">
      <c r="A22" t="s">
        <v>44</v>
      </c>
      <c r="B22" s="13">
        <v>1.2</v>
      </c>
    </row>
    <row r="23" spans="1:2" x14ac:dyDescent="0.25">
      <c r="A23" t="s">
        <v>45</v>
      </c>
      <c r="B23" s="13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40" customWidth="1"/>
    <col min="2" max="5" width="12" customWidth="1"/>
  </cols>
  <sheetData>
    <row r="1" spans="1:1" x14ac:dyDescent="0.25">
      <c r="A1" s="1" t="s">
        <v>46</v>
      </c>
    </row>
    <row r="2" spans="1:1" x14ac:dyDescent="0.25">
      <c r="A2" s="2" t="s">
        <v>47</v>
      </c>
    </row>
    <row r="3" spans="1:1" x14ac:dyDescent="0.25">
      <c r="A3" s="2" t="s">
        <v>2</v>
      </c>
    </row>
    <row r="4" spans="1:2" x14ac:dyDescent="0.25">
      <c r="A4" t="s">
        <v>48</v>
      </c>
      <c r="B4" s="12">
        <f>'Your Numbers'!$B$16</f>
      </c>
    </row>
    <row r="5" spans="1:2" x14ac:dyDescent="0.25">
      <c r="A5" t="s">
        <v>19</v>
      </c>
      <c r="B5" s="14" t="s">
        <v>29</v>
      </c>
    </row>
    <row r="6" spans="1:2" x14ac:dyDescent="0.25">
      <c r="A6" t="s">
        <v>35</v>
      </c>
      <c r="B6" s="14" t="s">
        <v>38</v>
      </c>
    </row>
    <row r="7" spans="1:2" x14ac:dyDescent="0.25">
      <c r="A7" t="s">
        <v>42</v>
      </c>
      <c r="B7" s="14" t="s">
        <v>43</v>
      </c>
    </row>
    <row r="8" spans="1:2" x14ac:dyDescent="0.25">
      <c r="A8" t="s">
        <v>49</v>
      </c>
      <c r="B8" s="12">
        <v>0</v>
      </c>
    </row>
    <row r="10" spans="1:2" x14ac:dyDescent="0.25">
      <c r="A10" t="s">
        <v>50</v>
      </c>
      <c r="B10" s="15">
        <f>VLOOKUP(B6,'Package Menu'!$A$14:$B$18,2,FALSE)</f>
      </c>
    </row>
    <row r="11" spans="1:2" x14ac:dyDescent="0.25">
      <c r="A11" t="s">
        <v>51</v>
      </c>
      <c r="B11" s="15">
        <f>VLOOKUP(B7,'Package Menu'!$A$21:$B$23,2,FALSE)</f>
      </c>
    </row>
    <row r="12" spans="1:2" x14ac:dyDescent="0.25">
      <c r="A12" t="s">
        <v>52</v>
      </c>
      <c r="B12" s="16">
        <f>VLOOKUP(B5,'Package Menu'!$A$6:$C$11,2,FALSE)*B10*B11</f>
      </c>
    </row>
    <row r="13" spans="1:2" x14ac:dyDescent="0.25">
      <c r="A13" t="s">
        <v>53</v>
      </c>
      <c r="B13" s="15">
        <f>VLOOKUP(B5,'Package Menu'!$A$6:$C$11,3,FALSE)*B10*B11</f>
      </c>
    </row>
    <row r="15" spans="1:6" x14ac:dyDescent="0.25">
      <c r="A15" s="11" t="s">
        <v>54</v>
      </c>
      <c r="B15" s="11" t="s">
        <v>55</v>
      </c>
      <c r="C15" s="11" t="s">
        <v>56</v>
      </c>
      <c r="D15" s="11" t="s">
        <v>57</v>
      </c>
      <c r="E15" s="11" t="s">
        <v>58</v>
      </c>
      <c r="F15" s="11" t="s">
        <v>59</v>
      </c>
    </row>
    <row r="16" spans="1:6" x14ac:dyDescent="0.25">
      <c r="A16" t="s">
        <v>60</v>
      </c>
      <c r="B16" s="14">
        <v>0</v>
      </c>
      <c r="C16" s="12">
        <v>60</v>
      </c>
      <c r="D16" s="13">
        <v>0.75</v>
      </c>
      <c r="E16" s="16">
        <f>B16*C16</f>
      </c>
      <c r="F16" s="15">
        <f>B16*D16</f>
      </c>
    </row>
    <row r="17" spans="1:6" x14ac:dyDescent="0.25">
      <c r="A17" t="s">
        <v>61</v>
      </c>
      <c r="B17" s="14">
        <v>0</v>
      </c>
      <c r="C17" s="12">
        <v>90</v>
      </c>
      <c r="D17" s="13">
        <v>1</v>
      </c>
      <c r="E17" s="16">
        <f>B17*C17</f>
      </c>
      <c r="F17" s="15">
        <f>B17*D17</f>
      </c>
    </row>
    <row r="18" spans="1:6" x14ac:dyDescent="0.25">
      <c r="A18" t="s">
        <v>62</v>
      </c>
      <c r="B18" s="14">
        <v>0</v>
      </c>
      <c r="C18" s="12">
        <v>60</v>
      </c>
      <c r="D18" s="13">
        <v>0.75</v>
      </c>
      <c r="E18" s="16">
        <f>B18*C18</f>
      </c>
      <c r="F18" s="15">
        <f>B18*D18</f>
      </c>
    </row>
    <row r="19" spans="1:6" x14ac:dyDescent="0.25">
      <c r="A19" t="s">
        <v>63</v>
      </c>
      <c r="B19" s="14">
        <v>0</v>
      </c>
      <c r="C19" s="12">
        <v>60</v>
      </c>
      <c r="D19" s="13">
        <v>0.5</v>
      </c>
      <c r="E19" s="16">
        <f>B19*C19</f>
      </c>
      <c r="F19" s="15">
        <f>B19*D19</f>
      </c>
    </row>
    <row r="20" spans="1:6" x14ac:dyDescent="0.25">
      <c r="A20" t="s">
        <v>64</v>
      </c>
      <c r="B20" s="14">
        <v>0</v>
      </c>
      <c r="C20" s="12">
        <v>60</v>
      </c>
      <c r="D20" s="13">
        <v>0.5</v>
      </c>
      <c r="E20" s="16">
        <f>B20*C20</f>
      </c>
      <c r="F20" s="15">
        <f>B20*D20</f>
      </c>
    </row>
    <row r="21" spans="1:6" x14ac:dyDescent="0.25">
      <c r="A21" t="s">
        <v>65</v>
      </c>
      <c r="B21" s="14">
        <v>0</v>
      </c>
      <c r="C21" s="12">
        <v>90</v>
      </c>
      <c r="D21" s="13">
        <v>0.75</v>
      </c>
      <c r="E21" s="16">
        <f>B21*C21</f>
      </c>
      <c r="F21" s="15">
        <f>B21*D21</f>
      </c>
    </row>
    <row r="22" spans="1:6" x14ac:dyDescent="0.25">
      <c r="A22" t="s">
        <v>66</v>
      </c>
      <c r="B22" s="14">
        <v>0</v>
      </c>
      <c r="C22" s="12">
        <v>90</v>
      </c>
      <c r="D22" s="13">
        <v>0.5</v>
      </c>
      <c r="E22" s="16">
        <f>B22*C22</f>
      </c>
      <c r="F22" s="15">
        <f>B22*D22</f>
      </c>
    </row>
    <row r="23" spans="1:6" x14ac:dyDescent="0.25">
      <c r="A23" t="s">
        <v>67</v>
      </c>
      <c r="B23" s="14">
        <v>0</v>
      </c>
      <c r="C23" s="12">
        <v>70</v>
      </c>
      <c r="D23" s="13">
        <v>0.75</v>
      </c>
      <c r="E23" s="16">
        <f>B23*C23</f>
      </c>
      <c r="F23" s="15">
        <f>B23*D23</f>
      </c>
    </row>
    <row r="24" spans="1:6" x14ac:dyDescent="0.25">
      <c r="A24" t="s">
        <v>68</v>
      </c>
      <c r="B24" s="14">
        <v>0</v>
      </c>
      <c r="C24" s="12">
        <v>50</v>
      </c>
      <c r="D24" s="13">
        <v>0.5</v>
      </c>
      <c r="E24" s="16">
        <f>B24*C24</f>
      </c>
      <c r="F24" s="15">
        <f>B24*D24</f>
      </c>
    </row>
    <row r="26" spans="1:2" x14ac:dyDescent="0.25">
      <c r="A26" s="9" t="s">
        <v>69</v>
      </c>
      <c r="B26" s="8">
        <f>CEILING(B12+SUM(E16:E24)+B8,5)</f>
      </c>
    </row>
    <row r="27" spans="1:2" x14ac:dyDescent="0.25">
      <c r="A27" t="s">
        <v>70</v>
      </c>
      <c r="B27" s="17">
        <f>B13+SUM(F16:F24)</f>
      </c>
    </row>
    <row r="28" spans="1:2" x14ac:dyDescent="0.25">
      <c r="A28" t="s">
        <v>71</v>
      </c>
      <c r="B28" s="8">
        <f>IF(B27&gt;0,B26/B27,0)</f>
      </c>
    </row>
    <row r="29" spans="1:2" x14ac:dyDescent="0.25">
      <c r="A29" t="s">
        <v>72</v>
      </c>
      <c r="B29" s="9">
        <f>IF(B28&lt;B4,"Below target — add size/condition surcharge or raise base price","OK")</f>
      </c>
    </row>
  </sheetData>
  <dataValidations count="3">
    <dataValidation type="list" allowBlank="1" sqref="B5">
      <formula1>'Package Menu'!$A$6:$A$11</formula1>
    </dataValidation>
    <dataValidation type="list" allowBlank="1" sqref="B6">
      <formula1>'Package Menu'!$A$14:$A$18</formula1>
    </dataValidation>
    <dataValidation type="list" allowBlank="1" sqref="B7">
      <formula1>'Package Menu'!$A$21:$A$23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22" customWidth="1"/>
    <col min="2" max="2" width="44" customWidth="1"/>
    <col min="3" max="3" width="14" customWidth="1"/>
    <col min="4" max="5" width="12" customWidth="1"/>
    <col min="6" max="6" width="14" customWidth="1"/>
    <col min="7" max="7" width="50" customWidth="1"/>
  </cols>
  <sheetData>
    <row r="1" spans="1:1" x14ac:dyDescent="0.25">
      <c r="A1" s="1" t="s">
        <v>73</v>
      </c>
    </row>
    <row r="2" spans="1:1" x14ac:dyDescent="0.25">
      <c r="A2" s="2" t="s">
        <v>74</v>
      </c>
    </row>
    <row r="4" spans="1:7" x14ac:dyDescent="0.25">
      <c r="A4" s="11" t="s">
        <v>75</v>
      </c>
      <c r="B4" s="11" t="s">
        <v>76</v>
      </c>
      <c r="C4" s="11" t="s">
        <v>77</v>
      </c>
      <c r="D4" s="11" t="s">
        <v>78</v>
      </c>
      <c r="E4" s="11" t="s">
        <v>79</v>
      </c>
      <c r="F4" s="11" t="s">
        <v>80</v>
      </c>
      <c r="G4" s="11" t="s">
        <v>81</v>
      </c>
    </row>
    <row r="5" spans="1:7" x14ac:dyDescent="0.25">
      <c r="A5" t="s">
        <v>82</v>
      </c>
      <c r="B5" t="s">
        <v>23</v>
      </c>
      <c r="C5" t="s">
        <v>83</v>
      </c>
      <c r="D5" s="16">
        <v>60</v>
      </c>
      <c r="E5" s="16">
        <v>75</v>
      </c>
      <c r="F5" s="12"/>
      <c r="G5" t="s">
        <v>24</v>
      </c>
    </row>
    <row r="6" spans="1:7" x14ac:dyDescent="0.25">
      <c r="A6" t="s">
        <v>82</v>
      </c>
      <c r="B6" t="s">
        <v>25</v>
      </c>
      <c r="C6" t="s">
        <v>83</v>
      </c>
      <c r="D6" s="16">
        <v>150</v>
      </c>
      <c r="E6" s="16">
        <v>185</v>
      </c>
      <c r="F6" s="12"/>
      <c r="G6" t="s">
        <v>26</v>
      </c>
    </row>
    <row r="7" spans="1:7" x14ac:dyDescent="0.25">
      <c r="A7" t="s">
        <v>82</v>
      </c>
      <c r="B7" t="s">
        <v>27</v>
      </c>
      <c r="C7" t="s">
        <v>83</v>
      </c>
      <c r="D7" s="16">
        <v>120</v>
      </c>
      <c r="E7" s="16">
        <v>150</v>
      </c>
      <c r="F7" s="12"/>
      <c r="G7" t="s">
        <v>28</v>
      </c>
    </row>
    <row r="8" spans="1:7" x14ac:dyDescent="0.25">
      <c r="A8" t="s">
        <v>82</v>
      </c>
      <c r="B8" t="s">
        <v>29</v>
      </c>
      <c r="C8" t="s">
        <v>83</v>
      </c>
      <c r="D8" s="16">
        <v>235</v>
      </c>
      <c r="E8" s="16">
        <v>295</v>
      </c>
      <c r="F8" s="12"/>
      <c r="G8" t="s">
        <v>30</v>
      </c>
    </row>
    <row r="9" spans="1:7" x14ac:dyDescent="0.25">
      <c r="A9" t="s">
        <v>82</v>
      </c>
      <c r="B9" t="s">
        <v>31</v>
      </c>
      <c r="C9" t="s">
        <v>83</v>
      </c>
      <c r="D9" s="16">
        <v>360</v>
      </c>
      <c r="E9" s="16">
        <v>450</v>
      </c>
      <c r="F9" s="12"/>
      <c r="G9" t="s">
        <v>32</v>
      </c>
    </row>
    <row r="10" spans="1:7" x14ac:dyDescent="0.25">
      <c r="A10" t="s">
        <v>82</v>
      </c>
      <c r="B10" t="s">
        <v>33</v>
      </c>
      <c r="C10" t="s">
        <v>83</v>
      </c>
      <c r="D10" s="16">
        <v>720</v>
      </c>
      <c r="E10" s="16">
        <v>900</v>
      </c>
      <c r="F10" s="12"/>
      <c r="G10" t="s">
        <v>34</v>
      </c>
    </row>
    <row r="11" spans="1:7" x14ac:dyDescent="0.25">
      <c r="A11" t="s">
        <v>84</v>
      </c>
      <c r="B11" t="s">
        <v>38</v>
      </c>
      <c r="C11" t="s">
        <v>85</v>
      </c>
      <c r="D11" s="16" t="s">
        <v>86</v>
      </c>
      <c r="E11" s="16" t="s">
        <v>86</v>
      </c>
      <c r="F11" s="12"/>
      <c r="G11" t="s">
        <v>87</v>
      </c>
    </row>
    <row r="12" spans="1:7" x14ac:dyDescent="0.25">
      <c r="A12" t="s">
        <v>84</v>
      </c>
      <c r="B12" t="s">
        <v>39</v>
      </c>
      <c r="C12" t="s">
        <v>85</v>
      </c>
      <c r="D12" s="16" t="s">
        <v>86</v>
      </c>
      <c r="E12" s="16" t="s">
        <v>86</v>
      </c>
      <c r="F12" s="12"/>
      <c r="G12" t="s">
        <v>88</v>
      </c>
    </row>
    <row r="13" spans="1:7" x14ac:dyDescent="0.25">
      <c r="A13" t="s">
        <v>84</v>
      </c>
      <c r="B13" t="s">
        <v>40</v>
      </c>
      <c r="C13" t="s">
        <v>85</v>
      </c>
      <c r="D13" s="16" t="s">
        <v>86</v>
      </c>
      <c r="E13" s="16" t="s">
        <v>86</v>
      </c>
      <c r="F13" s="12"/>
      <c r="G13" t="s">
        <v>89</v>
      </c>
    </row>
    <row r="14" spans="1:7" x14ac:dyDescent="0.25">
      <c r="A14" t="s">
        <v>84</v>
      </c>
      <c r="B14" t="s">
        <v>41</v>
      </c>
      <c r="C14" t="s">
        <v>85</v>
      </c>
      <c r="D14" s="16" t="s">
        <v>86</v>
      </c>
      <c r="E14" s="16" t="s">
        <v>86</v>
      </c>
      <c r="F14" s="12"/>
      <c r="G14" t="s">
        <v>90</v>
      </c>
    </row>
    <row r="15" spans="1:7" x14ac:dyDescent="0.25">
      <c r="A15" t="s">
        <v>91</v>
      </c>
      <c r="B15" t="s">
        <v>60</v>
      </c>
      <c r="C15" t="s">
        <v>92</v>
      </c>
      <c r="D15" s="16">
        <v>45</v>
      </c>
      <c r="E15" s="16">
        <v>60</v>
      </c>
      <c r="F15" s="12"/>
      <c r="G15" t="s">
        <v>86</v>
      </c>
    </row>
    <row r="16" spans="1:7" x14ac:dyDescent="0.25">
      <c r="A16" t="s">
        <v>91</v>
      </c>
      <c r="B16" t="s">
        <v>61</v>
      </c>
      <c r="C16" t="s">
        <v>92</v>
      </c>
      <c r="D16" s="16">
        <v>70</v>
      </c>
      <c r="E16" s="16">
        <v>90</v>
      </c>
      <c r="F16" s="12"/>
      <c r="G16" t="s">
        <v>86</v>
      </c>
    </row>
    <row r="17" spans="1:7" x14ac:dyDescent="0.25">
      <c r="A17" t="s">
        <v>91</v>
      </c>
      <c r="B17" t="s">
        <v>62</v>
      </c>
      <c r="C17" t="s">
        <v>92</v>
      </c>
      <c r="D17" s="16">
        <v>45</v>
      </c>
      <c r="E17" s="16">
        <v>60</v>
      </c>
      <c r="F17" s="12"/>
      <c r="G17" t="s">
        <v>86</v>
      </c>
    </row>
    <row r="18" spans="1:7" x14ac:dyDescent="0.25">
      <c r="A18" t="s">
        <v>91</v>
      </c>
      <c r="B18" t="s">
        <v>63</v>
      </c>
      <c r="C18" t="s">
        <v>92</v>
      </c>
      <c r="D18" s="16">
        <v>45</v>
      </c>
      <c r="E18" s="16">
        <v>60</v>
      </c>
      <c r="F18" s="12"/>
      <c r="G18" t="s">
        <v>86</v>
      </c>
    </row>
    <row r="19" spans="1:7" x14ac:dyDescent="0.25">
      <c r="A19" t="s">
        <v>91</v>
      </c>
      <c r="B19" t="s">
        <v>64</v>
      </c>
      <c r="C19" t="s">
        <v>92</v>
      </c>
      <c r="D19" s="16">
        <v>45</v>
      </c>
      <c r="E19" s="16">
        <v>60</v>
      </c>
      <c r="F19" s="12"/>
      <c r="G19" t="s">
        <v>86</v>
      </c>
    </row>
    <row r="20" spans="1:7" x14ac:dyDescent="0.25">
      <c r="A20" t="s">
        <v>91</v>
      </c>
      <c r="B20" t="s">
        <v>65</v>
      </c>
      <c r="C20" t="s">
        <v>92</v>
      </c>
      <c r="D20" s="16">
        <v>70</v>
      </c>
      <c r="E20" s="16">
        <v>90</v>
      </c>
      <c r="F20" s="12"/>
      <c r="G20" t="s">
        <v>86</v>
      </c>
    </row>
    <row r="21" spans="1:7" x14ac:dyDescent="0.25">
      <c r="A21" t="s">
        <v>91</v>
      </c>
      <c r="B21" t="s">
        <v>66</v>
      </c>
      <c r="C21" t="s">
        <v>92</v>
      </c>
      <c r="D21" s="16">
        <v>70</v>
      </c>
      <c r="E21" s="16">
        <v>90</v>
      </c>
      <c r="F21" s="12"/>
      <c r="G21" t="s">
        <v>86</v>
      </c>
    </row>
    <row r="22" spans="1:7" x14ac:dyDescent="0.25">
      <c r="A22" t="s">
        <v>91</v>
      </c>
      <c r="B22" t="s">
        <v>67</v>
      </c>
      <c r="C22" t="s">
        <v>92</v>
      </c>
      <c r="D22" s="16">
        <v>55</v>
      </c>
      <c r="E22" s="16">
        <v>70</v>
      </c>
      <c r="F22" s="12"/>
      <c r="G22" t="s">
        <v>86</v>
      </c>
    </row>
    <row r="23" spans="1:7" x14ac:dyDescent="0.25">
      <c r="A23" t="s">
        <v>91</v>
      </c>
      <c r="B23" t="s">
        <v>68</v>
      </c>
      <c r="C23" t="s">
        <v>92</v>
      </c>
      <c r="D23" s="16">
        <v>40</v>
      </c>
      <c r="E23" s="16">
        <v>50</v>
      </c>
      <c r="F23" s="12"/>
      <c r="G23" t="s">
        <v>86</v>
      </c>
    </row>
    <row r="24" spans="1:7" x14ac:dyDescent="0.25">
      <c r="A24" t="s">
        <v>93</v>
      </c>
      <c r="B24" t="s">
        <v>94</v>
      </c>
      <c r="C24" t="s">
        <v>95</v>
      </c>
      <c r="D24" s="16">
        <v>15</v>
      </c>
      <c r="E24" s="16">
        <v>35</v>
      </c>
      <c r="F24" s="12"/>
      <c r="G24" t="s">
        <v>96</v>
      </c>
    </row>
    <row r="25" spans="1:7" x14ac:dyDescent="0.25">
      <c r="A25" t="s">
        <v>93</v>
      </c>
      <c r="B25" t="s">
        <v>97</v>
      </c>
      <c r="C25" t="s">
        <v>98</v>
      </c>
      <c r="D25" s="16">
        <v>60</v>
      </c>
      <c r="E25" s="16">
        <v>90</v>
      </c>
      <c r="F25" s="12"/>
      <c r="G2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Your Numbers</vt:lpstr>
      <vt:lpstr>Package Menu</vt:lpstr>
      <vt:lpstr>Quote Builder</vt:lpstr>
      <vt:lpstr>Rate 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