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r Numbers" state="visible" r:id="rId4"/>
    <sheet sheetId="2" name="Task Pricing" state="visible" r:id="rId5"/>
    <sheet sheetId="3" name="Quote Builder" state="visible" r:id="rId6"/>
    <sheet sheetId="4" name="Rate Card" state="visible" r:id="rId7"/>
  </sheets>
  <calcPr calcId="171027" fullCalcOnLoad="1"/>
</workbook>
</file>

<file path=xl/sharedStrings.xml><?xml version="1.0" encoding="utf-8"?>
<sst xmlns="http://schemas.openxmlformats.org/spreadsheetml/2006/main" count="291" uniqueCount="130">
  <si>
    <t>Your Numbers — what you need to charge per billable hour</t>
  </si>
  <si>
    <t>Start here. Every other sheet uses the Target hourly rate from this page.</t>
  </si>
  <si>
    <t>Yellow cells are inputs — change them. Green cells are results (formulas).</t>
  </si>
  <si>
    <t>Annual take-home pay goal (what you want to pay yourself)</t>
  </si>
  <si>
    <t>Be honest — this is your salary, not the business's revenue.</t>
  </si>
  <si>
    <t>Tax set-aside (% of profit) — ask your accountant</t>
  </si>
  <si>
    <t>Annual business costs (vehicle, insurance, supplies, equipment, software, phone, marketing)</t>
  </si>
  <si>
    <t>Working weeks per year (after vacation, weather, sick days)</t>
  </si>
  <si>
    <t>Billable hours per week (paid, on-site time — not driving or quoting)</t>
  </si>
  <si>
    <t>Most solo operators bill 25–32 hours in a 45–50 hour work week.</t>
  </si>
  <si>
    <t>Profit needed before tax</t>
  </si>
  <si>
    <t>Revenue needed per year</t>
  </si>
  <si>
    <t>Billable hours per year</t>
  </si>
  <si>
    <t>Minimum hourly rate (break-even on your goal)</t>
  </si>
  <si>
    <t>Buffer for slow weeks, callbacks, and price creep (%)</t>
  </si>
  <si>
    <t>TARGET HOURLY RATE (used by the other sheets)</t>
  </si>
  <si>
    <t>Revenue needed per working week</t>
  </si>
  <si>
    <t>Handyman Task Pricing Library</t>
  </si>
  <si>
    <t>Edit hours to match YOUR pace. Price = typical hours × rate + materials × (1 + markup).</t>
  </si>
  <si>
    <t>Target hourly rate</t>
  </si>
  <si>
    <t>Materials markup (covers pickup time, returns, waste)</t>
  </si>
  <si>
    <t>Minimum per-visit charge</t>
  </si>
  <si>
    <t>Supply-run / trip charge (if you buy materials)</t>
  </si>
  <si>
    <t>Task</t>
  </si>
  <si>
    <t>Category</t>
  </si>
  <si>
    <t>Hours (low)</t>
  </si>
  <si>
    <t>Hours (typical)</t>
  </si>
  <si>
    <t>Typical materials $</t>
  </si>
  <si>
    <t>Labor price</t>
  </si>
  <si>
    <t>Price incl. materials</t>
  </si>
  <si>
    <t>Notes</t>
  </si>
  <si>
    <t>TV mount — up to 65in, drywall/studs</t>
  </si>
  <si>
    <t>Mounting</t>
  </si>
  <si>
    <t>Client supplies mount; cord concealment extra</t>
  </si>
  <si>
    <t>TV mount — cord concealment kit (in-wall rated)</t>
  </si>
  <si>
    <t>Use an in-wall rated kit; no extension cords in walls</t>
  </si>
  <si>
    <t>Hang shelves (per 3 shelves)</t>
  </si>
  <si>
    <t>Anchors vs studs changes time</t>
  </si>
  <si>
    <t>Hang pictures / mirrors (per 5 items)</t>
  </si>
  <si>
    <t>Heavy mirrors: French cleat</t>
  </si>
  <si>
    <t>Curtain rods (per window)</t>
  </si>
  <si>
    <t/>
  </si>
  <si>
    <t>Blinds install (per window, inside mount)</t>
  </si>
  <si>
    <t>Furniture assembly — small (nightstand, chair)</t>
  </si>
  <si>
    <t>Assembly</t>
  </si>
  <si>
    <t>Furniture assembly — large (dresser, bed frame)</t>
  </si>
  <si>
    <t>Wardrobes/PAX-style: 3–5 hrs</t>
  </si>
  <si>
    <t>Drywall patch — small (under 6in)</t>
  </si>
  <si>
    <t>Drywall &amp; paint</t>
  </si>
  <si>
    <t>Needs a second visit or fast-set compound</t>
  </si>
  <si>
    <t>Drywall patch — medium (6–16in)</t>
  </si>
  <si>
    <t>Often 2 visits for mud + paint</t>
  </si>
  <si>
    <t>Touch-up paint (per wall)</t>
  </si>
  <si>
    <t>Client supplies paint; color match not guaranteed</t>
  </si>
  <si>
    <t>Caulk tub or shower surround</t>
  </si>
  <si>
    <t>Bath &amp; kitchen</t>
  </si>
  <si>
    <t>Old caulk removal is most of the time</t>
  </si>
  <si>
    <t>Replace toilet fill valve / flapper</t>
  </si>
  <si>
    <t>Check your state's plumbing license limits</t>
  </si>
  <si>
    <t>Replace kitchen/bath faucet (same footprint)</t>
  </si>
  <si>
    <t>Client supplies faucet; seized nuts add time</t>
  </si>
  <si>
    <t>Replace garbage disposal (like for like)</t>
  </si>
  <si>
    <t>Check license limits</t>
  </si>
  <si>
    <t>Replace toilet (like for like)</t>
  </si>
  <si>
    <t>Wax ring/bolts; haul-away extra</t>
  </si>
  <si>
    <t>Regrout small area (under 10 sq ft)</t>
  </si>
  <si>
    <t>Swap light fixture (existing box)</t>
  </si>
  <si>
    <t>Electrical (where allowed)</t>
  </si>
  <si>
    <t>Many states require a licensed electrician — check first</t>
  </si>
  <si>
    <t>Swap ceiling fan (existing fan-rated box)</t>
  </si>
  <si>
    <t>Confirm box is fan-rated</t>
  </si>
  <si>
    <t>Replace smoke/CO detectors (per unit)</t>
  </si>
  <si>
    <t>Battery units; hardwired = check license</t>
  </si>
  <si>
    <t>Replace interior door hardware (per door)</t>
  </si>
  <si>
    <t>Doors &amp; windows</t>
  </si>
  <si>
    <t>Hang pre-hung interior door</t>
  </si>
  <si>
    <t>Door supplied by client; trim extra</t>
  </si>
  <si>
    <t>Adjust sticking door / strike plate</t>
  </si>
  <si>
    <t>Weatherstrip exterior door</t>
  </si>
  <si>
    <t>Replace window screen (rescreen)</t>
  </si>
  <si>
    <t>Gutter cleaning — 1 story (per 100 lf)</t>
  </si>
  <si>
    <t>Exterior</t>
  </si>
  <si>
    <t>Ladder safety; 2-story needs a second person</t>
  </si>
  <si>
    <t>Fence board / picket repair (per 5 boards)</t>
  </si>
  <si>
    <t>Deck board replacement (per board)</t>
  </si>
  <si>
    <t>Check joists while you're there</t>
  </si>
  <si>
    <t>Pressure-treat / seal small deck (per 100 sq ft)</t>
  </si>
  <si>
    <t>Baby-proofing package (gates, latches, anchors)</t>
  </si>
  <si>
    <t>Misc</t>
  </si>
  <si>
    <t>Client supplies products</t>
  </si>
  <si>
    <t>Handyman Quote Builder</t>
  </si>
  <si>
    <t>Pick tasks from the dropdown, enter quantities. Minimum visit charge applies.</t>
  </si>
  <si>
    <t>Task (pick from list)</t>
  </si>
  <si>
    <t>Qty</t>
  </si>
  <si>
    <t>Hours</t>
  </si>
  <si>
    <t>Labor $</t>
  </si>
  <si>
    <t>Materials $</t>
  </si>
  <si>
    <t>Line total $</t>
  </si>
  <si>
    <t>Total hours</t>
  </si>
  <si>
    <t>Tasks subtotal</t>
  </si>
  <si>
    <t>Supply-run charge? (Yes/No)</t>
  </si>
  <si>
    <t>No</t>
  </si>
  <si>
    <t>Rush / after-hours uplift (%)</t>
  </si>
  <si>
    <t>QUOTED PRICE</t>
  </si>
  <si>
    <t>Effective hourly (check vs target)</t>
  </si>
  <si>
    <t>Status</t>
  </si>
  <si>
    <t>Handyman Rate Card</t>
  </si>
  <si>
    <t>Starting ranges only — prices vary a lot by region. Replace with your local numbers.</t>
  </si>
  <si>
    <t>Item</t>
  </si>
  <si>
    <t>Unit</t>
  </si>
  <si>
    <t>Low $</t>
  </si>
  <si>
    <t>Target $</t>
  </si>
  <si>
    <t>Your price $</t>
  </si>
  <si>
    <t>rates</t>
  </si>
  <si>
    <t>Minimum per-visit charge (includes first hour)</t>
  </si>
  <si>
    <t>visit</t>
  </si>
  <si>
    <t>Protects you on tiny jobs</t>
  </si>
  <si>
    <t>Hourly labor after first hour</t>
  </si>
  <si>
    <t>hour</t>
  </si>
  <si>
    <t>Solo handyman</t>
  </si>
  <si>
    <t>Supply run / materials pickup</t>
  </si>
  <si>
    <t>trip</t>
  </si>
  <si>
    <t>Plus materials at cost + markup</t>
  </si>
  <si>
    <t>Materials markup</t>
  </si>
  <si>
    <t>percent</t>
  </si>
  <si>
    <t>Percent over receipt</t>
  </si>
  <si>
    <t>Haul-away (small load)</t>
  </si>
  <si>
    <t>load</t>
  </si>
  <si>
    <t>Dump fees vary</t>
  </si>
  <si>
    <t>task (min. visit charge applies)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</si>
</sst>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E8A838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1C2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3" fontId="0" fillId="0" borderId="0" xfId="0" applyNumberFormat="1"/>
    <xf numFmtId="165" fontId="3" fillId="3" borderId="0" xfId="0" applyNumberFormat="1" applyFont="1" applyFill="1"/>
    <xf numFmtId="0" fontId="3" fillId="0" borderId="0" xfId="0" applyFont="1"/>
    <xf numFmtId="164" fontId="3" fillId="3" borderId="0" xfId="0" applyNumberFormat="1" applyFont="1" applyFill="1"/>
    <xf numFmtId="165" fontId="0" fillId="2" borderId="0" xfId="0" applyNumberFormat="1" applyFill="1"/>
    <xf numFmtId="0" fontId="4" fillId="4" borderId="0" xfId="0" applyFont="1" applyFill="1" applyAlignment="1">
      <alignment vertical="center" wrapText="1"/>
    </xf>
    <xf numFmtId="2" fontId="0" fillId="2" borderId="0" xfId="0" applyNumberFormat="1" applyFill="1"/>
    <xf numFmtId="165" fontId="0" fillId="0" borderId="0" xfId="0" applyNumberFormat="1"/>
    <xf numFmtId="0" fontId="0" fillId="2" borderId="0" xfId="0" applyFill="1"/>
    <xf numFmtId="2" fontId="0" fillId="0" borderId="0" xfId="0" applyNumberFormat="1"/>
    <xf numFmtId="2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8" customWidth="1"/>
    <col min="2" max="2" width="18" customWidth="1"/>
    <col min="3" max="3" width="6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3" x14ac:dyDescent="0.25">
      <c r="A5" t="s">
        <v>3</v>
      </c>
      <c r="B5" s="3">
        <v>65000</v>
      </c>
      <c r="C5" t="s">
        <v>4</v>
      </c>
    </row>
    <row r="6" spans="1:2" x14ac:dyDescent="0.25">
      <c r="A6" t="s">
        <v>5</v>
      </c>
      <c r="B6" s="4">
        <v>0.25</v>
      </c>
    </row>
    <row r="7" spans="1:2" x14ac:dyDescent="0.25">
      <c r="A7" t="s">
        <v>6</v>
      </c>
      <c r="B7" s="3">
        <v>20000</v>
      </c>
    </row>
    <row r="8" spans="1:2" x14ac:dyDescent="0.25">
      <c r="A8" t="s">
        <v>7</v>
      </c>
      <c r="B8" s="5">
        <v>48</v>
      </c>
    </row>
    <row r="9" spans="1:3" x14ac:dyDescent="0.25">
      <c r="A9" t="s">
        <v>8</v>
      </c>
      <c r="B9" s="5">
        <v>28</v>
      </c>
      <c r="C9" t="s">
        <v>9</v>
      </c>
    </row>
    <row r="11" spans="1:2" x14ac:dyDescent="0.25">
      <c r="A11" t="s">
        <v>10</v>
      </c>
      <c r="B11" s="6">
        <f>B5/(1-B6)</f>
      </c>
    </row>
    <row r="12" spans="1:2" x14ac:dyDescent="0.25">
      <c r="A12" t="s">
        <v>11</v>
      </c>
      <c r="B12" s="6">
        <f>B11+B7</f>
      </c>
    </row>
    <row r="13" spans="1:2" x14ac:dyDescent="0.25">
      <c r="A13" t="s">
        <v>12</v>
      </c>
      <c r="B13" s="7">
        <f>B8*B9</f>
      </c>
    </row>
    <row r="14" spans="1:2" x14ac:dyDescent="0.25">
      <c r="A14" t="s">
        <v>13</v>
      </c>
      <c r="B14" s="8">
        <f>IF(B13&gt;0,B12/B13,0)</f>
      </c>
    </row>
    <row r="15" spans="1:2" x14ac:dyDescent="0.25">
      <c r="A15" t="s">
        <v>14</v>
      </c>
      <c r="B15" s="4">
        <v>0.15</v>
      </c>
    </row>
    <row r="16" spans="1:2" x14ac:dyDescent="0.25">
      <c r="A16" s="9" t="s">
        <v>15</v>
      </c>
      <c r="B16" s="8">
        <f>B14*(1+B15)</f>
      </c>
    </row>
    <row r="17" spans="1:2" x14ac:dyDescent="0.25">
      <c r="A17" t="s">
        <v>16</v>
      </c>
      <c r="B17" s="10">
        <f>IF(B8&gt;0,B12/B8,0)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50" customWidth="1"/>
    <col min="2" max="2" width="24" customWidth="1"/>
    <col min="3" max="4" width="12" customWidth="1"/>
    <col min="5" max="6" width="14" customWidth="1"/>
    <col min="7" max="7" width="16" customWidth="1"/>
    <col min="8" max="8" width="52" customWidth="1"/>
  </cols>
  <sheetData>
    <row r="1" spans="1:1" x14ac:dyDescent="0.25">
      <c r="A1" s="1" t="s">
        <v>17</v>
      </c>
    </row>
    <row r="2" spans="1:1" x14ac:dyDescent="0.25">
      <c r="A2" s="2" t="s">
        <v>18</v>
      </c>
    </row>
    <row r="3" spans="1:1" x14ac:dyDescent="0.25">
      <c r="A3" s="2" t="s">
        <v>2</v>
      </c>
    </row>
    <row r="4" spans="1:2" x14ac:dyDescent="0.25">
      <c r="A4" t="s">
        <v>19</v>
      </c>
      <c r="B4" s="11">
        <f>'Your Numbers'!$B$16</f>
      </c>
    </row>
    <row r="5" spans="1:2" x14ac:dyDescent="0.25">
      <c r="A5" t="s">
        <v>20</v>
      </c>
      <c r="B5" s="4">
        <v>0.2</v>
      </c>
    </row>
    <row r="6" spans="1:2" x14ac:dyDescent="0.25">
      <c r="A6" t="s">
        <v>21</v>
      </c>
      <c r="B6" s="3">
        <v>150</v>
      </c>
    </row>
    <row r="7" spans="1:2" x14ac:dyDescent="0.25">
      <c r="A7" t="s">
        <v>22</v>
      </c>
      <c r="B7" s="3">
        <v>25</v>
      </c>
    </row>
    <row r="9" spans="1:8" x14ac:dyDescent="0.25">
      <c r="A9" s="12" t="s">
        <v>23</v>
      </c>
      <c r="B9" s="12" t="s">
        <v>24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</row>
    <row r="10" spans="1:8" x14ac:dyDescent="0.25">
      <c r="A10" t="s">
        <v>31</v>
      </c>
      <c r="B10" t="s">
        <v>32</v>
      </c>
      <c r="C10" s="13">
        <v>0.75</v>
      </c>
      <c r="D10" s="13">
        <v>1.25</v>
      </c>
      <c r="E10" s="11">
        <v>0</v>
      </c>
      <c r="F10" s="14">
        <f>D10*$B$4</f>
      </c>
      <c r="G10" s="8">
        <f>F10+E10*(1+$B$5)</f>
      </c>
      <c r="H10" t="s">
        <v>33</v>
      </c>
    </row>
    <row r="11" spans="1:8" x14ac:dyDescent="0.25">
      <c r="A11" t="s">
        <v>34</v>
      </c>
      <c r="B11" t="s">
        <v>32</v>
      </c>
      <c r="C11" s="13">
        <v>0.75</v>
      </c>
      <c r="D11" s="13">
        <v>1</v>
      </c>
      <c r="E11" s="11">
        <v>30</v>
      </c>
      <c r="F11" s="14">
        <f>D11*$B$4</f>
      </c>
      <c r="G11" s="8">
        <f>F11+E11*(1+$B$5)</f>
      </c>
      <c r="H11" t="s">
        <v>35</v>
      </c>
    </row>
    <row r="12" spans="1:8" x14ac:dyDescent="0.25">
      <c r="A12" t="s">
        <v>36</v>
      </c>
      <c r="B12" t="s">
        <v>32</v>
      </c>
      <c r="C12" s="13">
        <v>0.5</v>
      </c>
      <c r="D12" s="13">
        <v>1</v>
      </c>
      <c r="E12" s="11">
        <v>0</v>
      </c>
      <c r="F12" s="14">
        <f>D12*$B$4</f>
      </c>
      <c r="G12" s="8">
        <f>F12+E12*(1+$B$5)</f>
      </c>
      <c r="H12" t="s">
        <v>37</v>
      </c>
    </row>
    <row r="13" spans="1:8" x14ac:dyDescent="0.25">
      <c r="A13" t="s">
        <v>38</v>
      </c>
      <c r="B13" t="s">
        <v>32</v>
      </c>
      <c r="C13" s="13">
        <v>0.5</v>
      </c>
      <c r="D13" s="13">
        <v>1</v>
      </c>
      <c r="E13" s="11">
        <v>5</v>
      </c>
      <c r="F13" s="14">
        <f>D13*$B$4</f>
      </c>
      <c r="G13" s="8">
        <f>F13+E13*(1+$B$5)</f>
      </c>
      <c r="H13" t="s">
        <v>39</v>
      </c>
    </row>
    <row r="14" spans="1:8" x14ac:dyDescent="0.25">
      <c r="A14" t="s">
        <v>40</v>
      </c>
      <c r="B14" t="s">
        <v>32</v>
      </c>
      <c r="C14" s="13">
        <v>0.33</v>
      </c>
      <c r="D14" s="13">
        <v>0.5</v>
      </c>
      <c r="E14" s="11">
        <v>0</v>
      </c>
      <c r="F14" s="14">
        <f>D14*$B$4</f>
      </c>
      <c r="G14" s="8">
        <f>F14+E14*(1+$B$5)</f>
      </c>
      <c r="H14" t="s">
        <v>41</v>
      </c>
    </row>
    <row r="15" spans="1:8" x14ac:dyDescent="0.25">
      <c r="A15" t="s">
        <v>42</v>
      </c>
      <c r="B15" t="s">
        <v>32</v>
      </c>
      <c r="C15" s="13">
        <v>0.33</v>
      </c>
      <c r="D15" s="13">
        <v>0.5</v>
      </c>
      <c r="E15" s="11">
        <v>0</v>
      </c>
      <c r="F15" s="14">
        <f>D15*$B$4</f>
      </c>
      <c r="G15" s="8">
        <f>F15+E15*(1+$B$5)</f>
      </c>
      <c r="H15" t="s">
        <v>41</v>
      </c>
    </row>
    <row r="16" spans="1:8" x14ac:dyDescent="0.25">
      <c r="A16" t="s">
        <v>43</v>
      </c>
      <c r="B16" t="s">
        <v>44</v>
      </c>
      <c r="C16" s="13">
        <v>0.5</v>
      </c>
      <c r="D16" s="13">
        <v>0.75</v>
      </c>
      <c r="E16" s="11">
        <v>0</v>
      </c>
      <c r="F16" s="14">
        <f>D16*$B$4</f>
      </c>
      <c r="G16" s="8">
        <f>F16+E16*(1+$B$5)</f>
      </c>
      <c r="H16" t="s">
        <v>41</v>
      </c>
    </row>
    <row r="17" spans="1:8" x14ac:dyDescent="0.25">
      <c r="A17" t="s">
        <v>45</v>
      </c>
      <c r="B17" t="s">
        <v>44</v>
      </c>
      <c r="C17" s="13">
        <v>1.5</v>
      </c>
      <c r="D17" s="13">
        <v>2.5</v>
      </c>
      <c r="E17" s="11">
        <v>0</v>
      </c>
      <c r="F17" s="14">
        <f>D17*$B$4</f>
      </c>
      <c r="G17" s="8">
        <f>F17+E17*(1+$B$5)</f>
      </c>
      <c r="H17" t="s">
        <v>46</v>
      </c>
    </row>
    <row r="18" spans="1:8" x14ac:dyDescent="0.25">
      <c r="A18" t="s">
        <v>47</v>
      </c>
      <c r="B18" t="s">
        <v>48</v>
      </c>
      <c r="C18" s="13">
        <v>0.75</v>
      </c>
      <c r="D18" s="13">
        <v>1</v>
      </c>
      <c r="E18" s="11">
        <v>10</v>
      </c>
      <c r="F18" s="14">
        <f>D18*$B$4</f>
      </c>
      <c r="G18" s="8">
        <f>F18+E18*(1+$B$5)</f>
      </c>
      <c r="H18" t="s">
        <v>49</v>
      </c>
    </row>
    <row r="19" spans="1:8" x14ac:dyDescent="0.25">
      <c r="A19" t="s">
        <v>50</v>
      </c>
      <c r="B19" t="s">
        <v>48</v>
      </c>
      <c r="C19" s="13">
        <v>1.5</v>
      </c>
      <c r="D19" s="13">
        <v>2.5</v>
      </c>
      <c r="E19" s="11">
        <v>20</v>
      </c>
      <c r="F19" s="14">
        <f>D19*$B$4</f>
      </c>
      <c r="G19" s="8">
        <f>F19+E19*(1+$B$5)</f>
      </c>
      <c r="H19" t="s">
        <v>51</v>
      </c>
    </row>
    <row r="20" spans="1:8" x14ac:dyDescent="0.25">
      <c r="A20" t="s">
        <v>52</v>
      </c>
      <c r="B20" t="s">
        <v>48</v>
      </c>
      <c r="C20" s="13">
        <v>0.75</v>
      </c>
      <c r="D20" s="13">
        <v>1</v>
      </c>
      <c r="E20" s="11">
        <v>0</v>
      </c>
      <c r="F20" s="14">
        <f>D20*$B$4</f>
      </c>
      <c r="G20" s="8">
        <f>F20+E20*(1+$B$5)</f>
      </c>
      <c r="H20" t="s">
        <v>53</v>
      </c>
    </row>
    <row r="21" spans="1:8" x14ac:dyDescent="0.25">
      <c r="A21" t="s">
        <v>54</v>
      </c>
      <c r="B21" t="s">
        <v>55</v>
      </c>
      <c r="C21" s="13">
        <v>1</v>
      </c>
      <c r="D21" s="13">
        <v>1.5</v>
      </c>
      <c r="E21" s="11">
        <v>15</v>
      </c>
      <c r="F21" s="14">
        <f>D21*$B$4</f>
      </c>
      <c r="G21" s="8">
        <f>F21+E21*(1+$B$5)</f>
      </c>
      <c r="H21" t="s">
        <v>56</v>
      </c>
    </row>
    <row r="22" spans="1:8" x14ac:dyDescent="0.25">
      <c r="A22" t="s">
        <v>57</v>
      </c>
      <c r="B22" t="s">
        <v>55</v>
      </c>
      <c r="C22" s="13">
        <v>0.5</v>
      </c>
      <c r="D22" s="13">
        <v>0.75</v>
      </c>
      <c r="E22" s="11">
        <v>20</v>
      </c>
      <c r="F22" s="14">
        <f>D22*$B$4</f>
      </c>
      <c r="G22" s="8">
        <f>F22+E22*(1+$B$5)</f>
      </c>
      <c r="H22" t="s">
        <v>58</v>
      </c>
    </row>
    <row r="23" spans="1:8" x14ac:dyDescent="0.25">
      <c r="A23" t="s">
        <v>59</v>
      </c>
      <c r="B23" t="s">
        <v>55</v>
      </c>
      <c r="C23" s="13">
        <v>1</v>
      </c>
      <c r="D23" s="13">
        <v>1.5</v>
      </c>
      <c r="E23" s="11">
        <v>0</v>
      </c>
      <c r="F23" s="14">
        <f>D23*$B$4</f>
      </c>
      <c r="G23" s="8">
        <f>F23+E23*(1+$B$5)</f>
      </c>
      <c r="H23" t="s">
        <v>60</v>
      </c>
    </row>
    <row r="24" spans="1:8" x14ac:dyDescent="0.25">
      <c r="A24" t="s">
        <v>61</v>
      </c>
      <c r="B24" t="s">
        <v>55</v>
      </c>
      <c r="C24" s="13">
        <v>1</v>
      </c>
      <c r="D24" s="13">
        <v>1.5</v>
      </c>
      <c r="E24" s="11">
        <v>0</v>
      </c>
      <c r="F24" s="14">
        <f>D24*$B$4</f>
      </c>
      <c r="G24" s="8">
        <f>F24+E24*(1+$B$5)</f>
      </c>
      <c r="H24" t="s">
        <v>62</v>
      </c>
    </row>
    <row r="25" spans="1:8" x14ac:dyDescent="0.25">
      <c r="A25" t="s">
        <v>63</v>
      </c>
      <c r="B25" t="s">
        <v>55</v>
      </c>
      <c r="C25" s="13">
        <v>1.5</v>
      </c>
      <c r="D25" s="13">
        <v>2</v>
      </c>
      <c r="E25" s="11">
        <v>15</v>
      </c>
      <c r="F25" s="14">
        <f>D25*$B$4</f>
      </c>
      <c r="G25" s="8">
        <f>F25+E25*(1+$B$5)</f>
      </c>
      <c r="H25" t="s">
        <v>64</v>
      </c>
    </row>
    <row r="26" spans="1:8" x14ac:dyDescent="0.25">
      <c r="A26" t="s">
        <v>65</v>
      </c>
      <c r="B26" t="s">
        <v>55</v>
      </c>
      <c r="C26" s="13">
        <v>2</v>
      </c>
      <c r="D26" s="13">
        <v>3</v>
      </c>
      <c r="E26" s="11">
        <v>20</v>
      </c>
      <c r="F26" s="14">
        <f>D26*$B$4</f>
      </c>
      <c r="G26" s="8">
        <f>F26+E26*(1+$B$5)</f>
      </c>
      <c r="H26" t="s">
        <v>41</v>
      </c>
    </row>
    <row r="27" spans="1:8" x14ac:dyDescent="0.25">
      <c r="A27" t="s">
        <v>66</v>
      </c>
      <c r="B27" t="s">
        <v>67</v>
      </c>
      <c r="C27" s="13">
        <v>0.75</v>
      </c>
      <c r="D27" s="13">
        <v>1</v>
      </c>
      <c r="E27" s="11">
        <v>0</v>
      </c>
      <c r="F27" s="14">
        <f>D27*$B$4</f>
      </c>
      <c r="G27" s="8">
        <f>F27+E27*(1+$B$5)</f>
      </c>
      <c r="H27" t="s">
        <v>68</v>
      </c>
    </row>
    <row r="28" spans="1:8" x14ac:dyDescent="0.25">
      <c r="A28" t="s">
        <v>69</v>
      </c>
      <c r="B28" t="s">
        <v>67</v>
      </c>
      <c r="C28" s="13">
        <v>1</v>
      </c>
      <c r="D28" s="13">
        <v>1.5</v>
      </c>
      <c r="E28" s="11">
        <v>0</v>
      </c>
      <c r="F28" s="14">
        <f>D28*$B$4</f>
      </c>
      <c r="G28" s="8">
        <f>F28+E28*(1+$B$5)</f>
      </c>
      <c r="H28" t="s">
        <v>70</v>
      </c>
    </row>
    <row r="29" spans="1:8" x14ac:dyDescent="0.25">
      <c r="A29" t="s">
        <v>71</v>
      </c>
      <c r="B29" t="s">
        <v>67</v>
      </c>
      <c r="C29" s="13">
        <v>0.25</v>
      </c>
      <c r="D29" s="13">
        <v>0.33</v>
      </c>
      <c r="E29" s="11">
        <v>0</v>
      </c>
      <c r="F29" s="14">
        <f>D29*$B$4</f>
      </c>
      <c r="G29" s="8">
        <f>F29+E29*(1+$B$5)</f>
      </c>
      <c r="H29" t="s">
        <v>72</v>
      </c>
    </row>
    <row r="30" spans="1:8" x14ac:dyDescent="0.25">
      <c r="A30" t="s">
        <v>73</v>
      </c>
      <c r="B30" t="s">
        <v>74</v>
      </c>
      <c r="C30" s="13">
        <v>0.33</v>
      </c>
      <c r="D30" s="13">
        <v>0.5</v>
      </c>
      <c r="E30" s="11">
        <v>0</v>
      </c>
      <c r="F30" s="14">
        <f>D30*$B$4</f>
      </c>
      <c r="G30" s="8">
        <f>F30+E30*(1+$B$5)</f>
      </c>
      <c r="H30" t="s">
        <v>41</v>
      </c>
    </row>
    <row r="31" spans="1:8" x14ac:dyDescent="0.25">
      <c r="A31" t="s">
        <v>75</v>
      </c>
      <c r="B31" t="s">
        <v>74</v>
      </c>
      <c r="C31" s="13">
        <v>2</v>
      </c>
      <c r="D31" s="13">
        <v>3</v>
      </c>
      <c r="E31" s="11">
        <v>0</v>
      </c>
      <c r="F31" s="14">
        <f>D31*$B$4</f>
      </c>
      <c r="G31" s="8">
        <f>F31+E31*(1+$B$5)</f>
      </c>
      <c r="H31" t="s">
        <v>76</v>
      </c>
    </row>
    <row r="32" spans="1:8" x14ac:dyDescent="0.25">
      <c r="A32" t="s">
        <v>77</v>
      </c>
      <c r="B32" t="s">
        <v>74</v>
      </c>
      <c r="C32" s="13">
        <v>0.5</v>
      </c>
      <c r="D32" s="13">
        <v>0.75</v>
      </c>
      <c r="E32" s="11">
        <v>5</v>
      </c>
      <c r="F32" s="14">
        <f>D32*$B$4</f>
      </c>
      <c r="G32" s="8">
        <f>F32+E32*(1+$B$5)</f>
      </c>
      <c r="H32" t="s">
        <v>41</v>
      </c>
    </row>
    <row r="33" spans="1:8" x14ac:dyDescent="0.25">
      <c r="A33" t="s">
        <v>78</v>
      </c>
      <c r="B33" t="s">
        <v>74</v>
      </c>
      <c r="C33" s="13">
        <v>0.75</v>
      </c>
      <c r="D33" s="13">
        <v>1</v>
      </c>
      <c r="E33" s="11">
        <v>25</v>
      </c>
      <c r="F33" s="14">
        <f>D33*$B$4</f>
      </c>
      <c r="G33" s="8">
        <f>F33+E33*(1+$B$5)</f>
      </c>
      <c r="H33" t="s">
        <v>41</v>
      </c>
    </row>
    <row r="34" spans="1:8" x14ac:dyDescent="0.25">
      <c r="A34" t="s">
        <v>79</v>
      </c>
      <c r="B34" t="s">
        <v>74</v>
      </c>
      <c r="C34" s="13">
        <v>0.33</v>
      </c>
      <c r="D34" s="13">
        <v>0.5</v>
      </c>
      <c r="E34" s="11">
        <v>10</v>
      </c>
      <c r="F34" s="14">
        <f>D34*$B$4</f>
      </c>
      <c r="G34" s="8">
        <f>F34+E34*(1+$B$5)</f>
      </c>
      <c r="H34" t="s">
        <v>41</v>
      </c>
    </row>
    <row r="35" spans="1:8" x14ac:dyDescent="0.25">
      <c r="A35" t="s">
        <v>80</v>
      </c>
      <c r="B35" t="s">
        <v>81</v>
      </c>
      <c r="C35" s="13">
        <v>1</v>
      </c>
      <c r="D35" s="13">
        <v>1.25</v>
      </c>
      <c r="E35" s="11">
        <v>0</v>
      </c>
      <c r="F35" s="14">
        <f>D35*$B$4</f>
      </c>
      <c r="G35" s="8">
        <f>F35+E35*(1+$B$5)</f>
      </c>
      <c r="H35" t="s">
        <v>82</v>
      </c>
    </row>
    <row r="36" spans="1:8" x14ac:dyDescent="0.25">
      <c r="A36" t="s">
        <v>83</v>
      </c>
      <c r="B36" t="s">
        <v>81</v>
      </c>
      <c r="C36" s="13">
        <v>0.75</v>
      </c>
      <c r="D36" s="13">
        <v>1</v>
      </c>
      <c r="E36" s="11">
        <v>25</v>
      </c>
      <c r="F36" s="14">
        <f>D36*$B$4</f>
      </c>
      <c r="G36" s="8">
        <f>F36+E36*(1+$B$5)</f>
      </c>
      <c r="H36" t="s">
        <v>41</v>
      </c>
    </row>
    <row r="37" spans="1:8" x14ac:dyDescent="0.25">
      <c r="A37" t="s">
        <v>84</v>
      </c>
      <c r="B37" t="s">
        <v>81</v>
      </c>
      <c r="C37" s="13">
        <v>0.5</v>
      </c>
      <c r="D37" s="13">
        <v>0.75</v>
      </c>
      <c r="E37" s="11">
        <v>20</v>
      </c>
      <c r="F37" s="14">
        <f>D37*$B$4</f>
      </c>
      <c r="G37" s="8">
        <f>F37+E37*(1+$B$5)</f>
      </c>
      <c r="H37" t="s">
        <v>85</v>
      </c>
    </row>
    <row r="38" spans="1:8" x14ac:dyDescent="0.25">
      <c r="A38" t="s">
        <v>86</v>
      </c>
      <c r="B38" t="s">
        <v>81</v>
      </c>
      <c r="C38" s="13">
        <v>1</v>
      </c>
      <c r="D38" s="13">
        <v>1.5</v>
      </c>
      <c r="E38" s="11">
        <v>25</v>
      </c>
      <c r="F38" s="14">
        <f>D38*$B$4</f>
      </c>
      <c r="G38" s="8">
        <f>F38+E38*(1+$B$5)</f>
      </c>
      <c r="H38" t="s">
        <v>41</v>
      </c>
    </row>
    <row r="39" spans="1:8" x14ac:dyDescent="0.25">
      <c r="A39" t="s">
        <v>87</v>
      </c>
      <c r="B39" t="s">
        <v>88</v>
      </c>
      <c r="C39" s="13">
        <v>1.5</v>
      </c>
      <c r="D39" s="13">
        <v>2.5</v>
      </c>
      <c r="E39" s="11">
        <v>0</v>
      </c>
      <c r="F39" s="14">
        <f>D39*$B$4</f>
      </c>
      <c r="G39" s="8">
        <f>F39+E39*(1+$B$5)</f>
      </c>
      <c r="H39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52" customWidth="1"/>
    <col min="2" max="2" width="8" customWidth="1"/>
    <col min="3" max="3" width="12" customWidth="1"/>
    <col min="4" max="6" width="14" customWidth="1"/>
  </cols>
  <sheetData>
    <row r="1" spans="1:1" x14ac:dyDescent="0.25">
      <c r="A1" s="1" t="s">
        <v>90</v>
      </c>
    </row>
    <row r="2" spans="1:1" x14ac:dyDescent="0.25">
      <c r="A2" s="2" t="s">
        <v>91</v>
      </c>
    </row>
    <row r="3" spans="1:1" x14ac:dyDescent="0.25">
      <c r="A3" s="2" t="s">
        <v>2</v>
      </c>
    </row>
    <row r="5" spans="1:6" x14ac:dyDescent="0.25">
      <c r="A5" s="12" t="s">
        <v>92</v>
      </c>
      <c r="B5" s="12" t="s">
        <v>93</v>
      </c>
      <c r="C5" s="12" t="s">
        <v>94</v>
      </c>
      <c r="D5" s="12" t="s">
        <v>95</v>
      </c>
      <c r="E5" s="12" t="s">
        <v>96</v>
      </c>
      <c r="F5" s="12" t="s">
        <v>97</v>
      </c>
    </row>
    <row r="6" spans="1:6" x14ac:dyDescent="0.25">
      <c r="A6" s="15" t="s">
        <v>31</v>
      </c>
      <c r="B6" s="15">
        <v>1</v>
      </c>
      <c r="C6" s="16">
        <f>IF(A6="","",VLOOKUP(A6,'Task Pricing'!$A$10:$H$39,4,FALSE)*B6)</f>
      </c>
      <c r="D6" s="14">
        <f>IF(A6="","",C6*'Task Pricing'!$B$4)</f>
      </c>
      <c r="E6" s="14">
        <f>IF(A6="","",VLOOKUP(A6,'Task Pricing'!$A$10:$H$39,5,FALSE)*B6*(1+'Task Pricing'!$B$5))</f>
      </c>
      <c r="F6" s="14">
        <f>IF(A6="","",D6+E6)</f>
      </c>
    </row>
    <row r="7" spans="1:6" x14ac:dyDescent="0.25">
      <c r="A7" s="15" t="s">
        <v>36</v>
      </c>
      <c r="B7" s="15">
        <v>1</v>
      </c>
      <c r="C7" s="16">
        <f>IF(A7="","",VLOOKUP(A7,'Task Pricing'!$A$10:$H$39,4,FALSE)*B7)</f>
      </c>
      <c r="D7" s="14">
        <f>IF(A7="","",C7*'Task Pricing'!$B$4)</f>
      </c>
      <c r="E7" s="14">
        <f>IF(A7="","",VLOOKUP(A7,'Task Pricing'!$A$10:$H$39,5,FALSE)*B7*(1+'Task Pricing'!$B$5))</f>
      </c>
      <c r="F7" s="14">
        <f>IF(A7="","",D7+E7)</f>
      </c>
    </row>
    <row r="8" spans="1:6" x14ac:dyDescent="0.25">
      <c r="A8" s="15" t="s">
        <v>54</v>
      </c>
      <c r="B8" s="15">
        <v>1</v>
      </c>
      <c r="C8" s="16">
        <f>IF(A8="","",VLOOKUP(A8,'Task Pricing'!$A$10:$H$39,4,FALSE)*B8)</f>
      </c>
      <c r="D8" s="14">
        <f>IF(A8="","",C8*'Task Pricing'!$B$4)</f>
      </c>
      <c r="E8" s="14">
        <f>IF(A8="","",VLOOKUP(A8,'Task Pricing'!$A$10:$H$39,5,FALSE)*B8*(1+'Task Pricing'!$B$5))</f>
      </c>
      <c r="F8" s="14">
        <f>IF(A8="","",D8+E8)</f>
      </c>
    </row>
    <row r="9" spans="1:6" x14ac:dyDescent="0.25">
      <c r="A9" s="15"/>
      <c r="B9" s="15"/>
      <c r="C9" s="16">
        <f>IF(A9="","",VLOOKUP(A9,'Task Pricing'!$A$10:$H$39,4,FALSE)*B9)</f>
      </c>
      <c r="D9" s="14">
        <f>IF(A9="","",C9*'Task Pricing'!$B$4)</f>
      </c>
      <c r="E9" s="14">
        <f>IF(A9="","",VLOOKUP(A9,'Task Pricing'!$A$10:$H$39,5,FALSE)*B9*(1+'Task Pricing'!$B$5))</f>
      </c>
      <c r="F9" s="14">
        <f>IF(A9="","",D9+E9)</f>
      </c>
    </row>
    <row r="10" spans="1:6" x14ac:dyDescent="0.25">
      <c r="A10" s="15"/>
      <c r="B10" s="15"/>
      <c r="C10" s="16">
        <f>IF(A10="","",VLOOKUP(A10,'Task Pricing'!$A$10:$H$39,4,FALSE)*B10)</f>
      </c>
      <c r="D10" s="14">
        <f>IF(A10="","",C10*'Task Pricing'!$B$4)</f>
      </c>
      <c r="E10" s="14">
        <f>IF(A10="","",VLOOKUP(A10,'Task Pricing'!$A$10:$H$39,5,FALSE)*B10*(1+'Task Pricing'!$B$5))</f>
      </c>
      <c r="F10" s="14">
        <f>IF(A10="","",D10+E10)</f>
      </c>
    </row>
    <row r="11" spans="1:6" x14ac:dyDescent="0.25">
      <c r="A11" s="15"/>
      <c r="B11" s="15"/>
      <c r="C11" s="16">
        <f>IF(A11="","",VLOOKUP(A11,'Task Pricing'!$A$10:$H$39,4,FALSE)*B11)</f>
      </c>
      <c r="D11" s="14">
        <f>IF(A11="","",C11*'Task Pricing'!$B$4)</f>
      </c>
      <c r="E11" s="14">
        <f>IF(A11="","",VLOOKUP(A11,'Task Pricing'!$A$10:$H$39,5,FALSE)*B11*(1+'Task Pricing'!$B$5))</f>
      </c>
      <c r="F11" s="14">
        <f>IF(A11="","",D11+E11)</f>
      </c>
    </row>
    <row r="12" spans="1:6" x14ac:dyDescent="0.25">
      <c r="A12" s="15"/>
      <c r="B12" s="15"/>
      <c r="C12" s="16">
        <f>IF(A12="","",VLOOKUP(A12,'Task Pricing'!$A$10:$H$39,4,FALSE)*B12)</f>
      </c>
      <c r="D12" s="14">
        <f>IF(A12="","",C12*'Task Pricing'!$B$4)</f>
      </c>
      <c r="E12" s="14">
        <f>IF(A12="","",VLOOKUP(A12,'Task Pricing'!$A$10:$H$39,5,FALSE)*B12*(1+'Task Pricing'!$B$5))</f>
      </c>
      <c r="F12" s="14">
        <f>IF(A12="","",D12+E12)</f>
      </c>
    </row>
    <row r="13" spans="1:6" x14ac:dyDescent="0.25">
      <c r="A13" s="15"/>
      <c r="B13" s="15"/>
      <c r="C13" s="16">
        <f>IF(A13="","",VLOOKUP(A13,'Task Pricing'!$A$10:$H$39,4,FALSE)*B13)</f>
      </c>
      <c r="D13" s="14">
        <f>IF(A13="","",C13*'Task Pricing'!$B$4)</f>
      </c>
      <c r="E13" s="14">
        <f>IF(A13="","",VLOOKUP(A13,'Task Pricing'!$A$10:$H$39,5,FALSE)*B13*(1+'Task Pricing'!$B$5))</f>
      </c>
      <c r="F13" s="14">
        <f>IF(A13="","",D13+E13)</f>
      </c>
    </row>
    <row r="14" spans="1:6" x14ac:dyDescent="0.25">
      <c r="A14" s="15"/>
      <c r="B14" s="15"/>
      <c r="C14" s="16">
        <f>IF(A14="","",VLOOKUP(A14,'Task Pricing'!$A$10:$H$39,4,FALSE)*B14)</f>
      </c>
      <c r="D14" s="14">
        <f>IF(A14="","",C14*'Task Pricing'!$B$4)</f>
      </c>
      <c r="E14" s="14">
        <f>IF(A14="","",VLOOKUP(A14,'Task Pricing'!$A$10:$H$39,5,FALSE)*B14*(1+'Task Pricing'!$B$5))</f>
      </c>
      <c r="F14" s="14">
        <f>IF(A14="","",D14+E14)</f>
      </c>
    </row>
    <row r="15" spans="1:6" x14ac:dyDescent="0.25">
      <c r="A15" s="15"/>
      <c r="B15" s="15"/>
      <c r="C15" s="16">
        <f>IF(A15="","",VLOOKUP(A15,'Task Pricing'!$A$10:$H$39,4,FALSE)*B15)</f>
      </c>
      <c r="D15" s="14">
        <f>IF(A15="","",C15*'Task Pricing'!$B$4)</f>
      </c>
      <c r="E15" s="14">
        <f>IF(A15="","",VLOOKUP(A15,'Task Pricing'!$A$10:$H$39,5,FALSE)*B15*(1+'Task Pricing'!$B$5))</f>
      </c>
      <c r="F15" s="14">
        <f>IF(A15="","",D15+E15)</f>
      </c>
    </row>
    <row r="16" spans="1:6" x14ac:dyDescent="0.25">
      <c r="A16" s="15"/>
      <c r="B16" s="15"/>
      <c r="C16" s="16">
        <f>IF(A16="","",VLOOKUP(A16,'Task Pricing'!$A$10:$H$39,4,FALSE)*B16)</f>
      </c>
      <c r="D16" s="14">
        <f>IF(A16="","",C16*'Task Pricing'!$B$4)</f>
      </c>
      <c r="E16" s="14">
        <f>IF(A16="","",VLOOKUP(A16,'Task Pricing'!$A$10:$H$39,5,FALSE)*B16*(1+'Task Pricing'!$B$5))</f>
      </c>
      <c r="F16" s="14">
        <f>IF(A16="","",D16+E16)</f>
      </c>
    </row>
    <row r="17" spans="1:6" x14ac:dyDescent="0.25">
      <c r="A17" s="15"/>
      <c r="B17" s="15"/>
      <c r="C17" s="16">
        <f>IF(A17="","",VLOOKUP(A17,'Task Pricing'!$A$10:$H$39,4,FALSE)*B17)</f>
      </c>
      <c r="D17" s="14">
        <f>IF(A17="","",C17*'Task Pricing'!$B$4)</f>
      </c>
      <c r="E17" s="14">
        <f>IF(A17="","",VLOOKUP(A17,'Task Pricing'!$A$10:$H$39,5,FALSE)*B17*(1+'Task Pricing'!$B$5))</f>
      </c>
      <c r="F17" s="14">
        <f>IF(A17="","",D17+E17)</f>
      </c>
    </row>
    <row r="19" spans="1:3" x14ac:dyDescent="0.25">
      <c r="A19" t="s">
        <v>98</v>
      </c>
      <c r="C19" s="17">
        <f>SUM(C6:C17)</f>
      </c>
    </row>
    <row r="20" spans="1:6" x14ac:dyDescent="0.25">
      <c r="A20" t="s">
        <v>99</v>
      </c>
      <c r="F20" s="18">
        <f>SUM(F6:F17)</f>
      </c>
    </row>
    <row r="21" spans="1:6" x14ac:dyDescent="0.25">
      <c r="A21" t="s">
        <v>100</v>
      </c>
      <c r="B21" s="15" t="s">
        <v>101</v>
      </c>
      <c r="F21" s="14">
        <f>IF(B21="Yes",'Task Pricing'!$B$7,0)</f>
      </c>
    </row>
    <row r="22" spans="1:6" x14ac:dyDescent="0.25">
      <c r="A22" t="s">
        <v>102</v>
      </c>
      <c r="B22" s="4">
        <v>0</v>
      </c>
      <c r="F22" s="14">
        <f>SUM(D6:D17)*B22</f>
      </c>
    </row>
    <row r="24" spans="1:6" x14ac:dyDescent="0.25">
      <c r="A24" s="9" t="s">
        <v>103</v>
      </c>
      <c r="F24" s="8">
        <f>CEILING(MAX('Task Pricing'!$B$6,F20+F21+F22),5)</f>
      </c>
    </row>
    <row r="25" spans="1:6" x14ac:dyDescent="0.25">
      <c r="A25" t="s">
        <v>104</v>
      </c>
      <c r="F25" s="8">
        <f>IF(C19&gt;0,F24/C19,0)</f>
      </c>
    </row>
    <row r="26" spans="1:6" x14ac:dyDescent="0.25">
      <c r="A26" t="s">
        <v>105</v>
      </c>
      <c r="F26" s="9">
        <f>IF(C19=0,"",IF(F25&lt;'Task Pricing'!$B$4,"Below target — check hours","OK"))</f>
      </c>
    </row>
  </sheetData>
  <dataValidations count="3">
    <dataValidation type="list" allowBlank="1" sqref="A10:A17">
      <formula1>'Task Pricing'!$A$10:$A$39</formula1>
    </dataValidation>
    <dataValidation type="list" allowBlank="1" sqref="A6:A17">
      <formula1>'Task Pricing'!$A$10:$A$39</formula1>
    </dataValidation>
    <dataValidation type="list" allowBlank="1" sqref="B2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22" customWidth="1"/>
    <col min="2" max="2" width="44" customWidth="1"/>
    <col min="3" max="3" width="14" customWidth="1"/>
    <col min="4" max="5" width="12" customWidth="1"/>
    <col min="6" max="6" width="14" customWidth="1"/>
    <col min="7" max="7" width="50" customWidth="1"/>
  </cols>
  <sheetData>
    <row r="1" spans="1:1" x14ac:dyDescent="0.25">
      <c r="A1" s="1" t="s">
        <v>106</v>
      </c>
    </row>
    <row r="2" spans="1:1" x14ac:dyDescent="0.25">
      <c r="A2" s="2" t="s">
        <v>107</v>
      </c>
    </row>
    <row r="4" spans="1:7" x14ac:dyDescent="0.25">
      <c r="A4" s="12" t="s">
        <v>24</v>
      </c>
      <c r="B4" s="12" t="s">
        <v>108</v>
      </c>
      <c r="C4" s="12" t="s">
        <v>109</v>
      </c>
      <c r="D4" s="12" t="s">
        <v>110</v>
      </c>
      <c r="E4" s="12" t="s">
        <v>111</v>
      </c>
      <c r="F4" s="12" t="s">
        <v>112</v>
      </c>
      <c r="G4" s="12" t="s">
        <v>30</v>
      </c>
    </row>
    <row r="5" spans="1:7" x14ac:dyDescent="0.25">
      <c r="A5" t="s">
        <v>113</v>
      </c>
      <c r="B5" t="s">
        <v>114</v>
      </c>
      <c r="C5" t="s">
        <v>115</v>
      </c>
      <c r="D5" s="14">
        <v>125</v>
      </c>
      <c r="E5" s="14">
        <v>175</v>
      </c>
      <c r="F5" s="11"/>
      <c r="G5" t="s">
        <v>116</v>
      </c>
    </row>
    <row r="6" spans="1:7" x14ac:dyDescent="0.25">
      <c r="A6" t="s">
        <v>113</v>
      </c>
      <c r="B6" t="s">
        <v>117</v>
      </c>
      <c r="C6" t="s">
        <v>118</v>
      </c>
      <c r="D6" s="14">
        <v>65</v>
      </c>
      <c r="E6" s="14">
        <v>110</v>
      </c>
      <c r="F6" s="11"/>
      <c r="G6" t="s">
        <v>119</v>
      </c>
    </row>
    <row r="7" spans="1:7" x14ac:dyDescent="0.25">
      <c r="A7" t="s">
        <v>113</v>
      </c>
      <c r="B7" t="s">
        <v>120</v>
      </c>
      <c r="C7" t="s">
        <v>121</v>
      </c>
      <c r="D7" s="14">
        <v>20</v>
      </c>
      <c r="E7" s="14">
        <v>40</v>
      </c>
      <c r="F7" s="11"/>
      <c r="G7" t="s">
        <v>122</v>
      </c>
    </row>
    <row r="8" spans="1:7" x14ac:dyDescent="0.25">
      <c r="A8" t="s">
        <v>113</v>
      </c>
      <c r="B8" t="s">
        <v>123</v>
      </c>
      <c r="C8" t="s">
        <v>124</v>
      </c>
      <c r="D8" s="14">
        <v>15</v>
      </c>
      <c r="E8" s="14">
        <v>25</v>
      </c>
      <c r="F8" s="11"/>
      <c r="G8" t="s">
        <v>125</v>
      </c>
    </row>
    <row r="9" spans="1:7" x14ac:dyDescent="0.25">
      <c r="A9" t="s">
        <v>113</v>
      </c>
      <c r="B9" t="s">
        <v>126</v>
      </c>
      <c r="C9" t="s">
        <v>127</v>
      </c>
      <c r="D9" s="14">
        <v>40</v>
      </c>
      <c r="E9" s="14">
        <v>90</v>
      </c>
      <c r="F9" s="11"/>
      <c r="G9" t="s">
        <v>128</v>
      </c>
    </row>
    <row r="10" spans="1:7" x14ac:dyDescent="0.25">
      <c r="A10" t="s">
        <v>32</v>
      </c>
      <c r="B10" t="s">
        <v>31</v>
      </c>
      <c r="C10" t="s">
        <v>129</v>
      </c>
      <c r="D10" s="14">
        <v>65</v>
      </c>
      <c r="E10" s="14">
        <v>120</v>
      </c>
      <c r="F10" s="11"/>
      <c r="G10" t="s">
        <v>33</v>
      </c>
    </row>
    <row r="11" spans="1:7" x14ac:dyDescent="0.25">
      <c r="A11" t="s">
        <v>32</v>
      </c>
      <c r="B11" t="s">
        <v>34</v>
      </c>
      <c r="C11" t="s">
        <v>129</v>
      </c>
      <c r="D11" s="14">
        <v>95</v>
      </c>
      <c r="E11" s="14">
        <v>125</v>
      </c>
      <c r="F11" s="11"/>
      <c r="G11" t="s">
        <v>35</v>
      </c>
    </row>
    <row r="12" spans="1:7" x14ac:dyDescent="0.25">
      <c r="A12" t="s">
        <v>32</v>
      </c>
      <c r="B12" t="s">
        <v>36</v>
      </c>
      <c r="C12" t="s">
        <v>129</v>
      </c>
      <c r="D12" s="14">
        <v>45</v>
      </c>
      <c r="E12" s="14">
        <v>95</v>
      </c>
      <c r="F12" s="11"/>
      <c r="G12" t="s">
        <v>37</v>
      </c>
    </row>
    <row r="13" spans="1:7" x14ac:dyDescent="0.25">
      <c r="A13" t="s">
        <v>32</v>
      </c>
      <c r="B13" t="s">
        <v>38</v>
      </c>
      <c r="C13" t="s">
        <v>129</v>
      </c>
      <c r="D13" s="14">
        <v>50</v>
      </c>
      <c r="E13" s="14">
        <v>100</v>
      </c>
      <c r="F13" s="11"/>
      <c r="G13" t="s">
        <v>39</v>
      </c>
    </row>
    <row r="14" spans="1:7" x14ac:dyDescent="0.25">
      <c r="A14" t="s">
        <v>32</v>
      </c>
      <c r="B14" t="s">
        <v>40</v>
      </c>
      <c r="C14" t="s">
        <v>129</v>
      </c>
      <c r="D14" s="14">
        <v>30</v>
      </c>
      <c r="E14" s="14">
        <v>50</v>
      </c>
      <c r="F14" s="11"/>
      <c r="G14" t="s">
        <v>41</v>
      </c>
    </row>
    <row r="15" spans="1:7" x14ac:dyDescent="0.25">
      <c r="A15" t="s">
        <v>32</v>
      </c>
      <c r="B15" t="s">
        <v>42</v>
      </c>
      <c r="C15" t="s">
        <v>129</v>
      </c>
      <c r="D15" s="14">
        <v>30</v>
      </c>
      <c r="E15" s="14">
        <v>50</v>
      </c>
      <c r="F15" s="11"/>
      <c r="G15" t="s">
        <v>41</v>
      </c>
    </row>
    <row r="16" spans="1:7" x14ac:dyDescent="0.25">
      <c r="A16" t="s">
        <v>44</v>
      </c>
      <c r="B16" t="s">
        <v>43</v>
      </c>
      <c r="C16" t="s">
        <v>129</v>
      </c>
      <c r="D16" s="14">
        <v>45</v>
      </c>
      <c r="E16" s="14">
        <v>70</v>
      </c>
      <c r="F16" s="11"/>
      <c r="G16" t="s">
        <v>41</v>
      </c>
    </row>
    <row r="17" spans="1:7" x14ac:dyDescent="0.25">
      <c r="A17" t="s">
        <v>44</v>
      </c>
      <c r="B17" t="s">
        <v>45</v>
      </c>
      <c r="C17" t="s">
        <v>129</v>
      </c>
      <c r="D17" s="14">
        <v>130</v>
      </c>
      <c r="E17" s="14">
        <v>240</v>
      </c>
      <c r="F17" s="11"/>
      <c r="G17" t="s">
        <v>46</v>
      </c>
    </row>
    <row r="18" spans="1:7" x14ac:dyDescent="0.25">
      <c r="A18" t="s">
        <v>48</v>
      </c>
      <c r="B18" t="s">
        <v>47</v>
      </c>
      <c r="C18" t="s">
        <v>129</v>
      </c>
      <c r="D18" s="14">
        <v>75</v>
      </c>
      <c r="E18" s="14">
        <v>105</v>
      </c>
      <c r="F18" s="11"/>
      <c r="G18" t="s">
        <v>49</v>
      </c>
    </row>
    <row r="19" spans="1:7" x14ac:dyDescent="0.25">
      <c r="A19" t="s">
        <v>48</v>
      </c>
      <c r="B19" t="s">
        <v>50</v>
      </c>
      <c r="C19" t="s">
        <v>129</v>
      </c>
      <c r="D19" s="14">
        <v>150</v>
      </c>
      <c r="E19" s="14">
        <v>260</v>
      </c>
      <c r="F19" s="11"/>
      <c r="G19" t="s">
        <v>51</v>
      </c>
    </row>
    <row r="20" spans="1:7" x14ac:dyDescent="0.25">
      <c r="A20" t="s">
        <v>48</v>
      </c>
      <c r="B20" t="s">
        <v>52</v>
      </c>
      <c r="C20" t="s">
        <v>129</v>
      </c>
      <c r="D20" s="14">
        <v>65</v>
      </c>
      <c r="E20" s="14">
        <v>95</v>
      </c>
      <c r="F20" s="11"/>
      <c r="G20" t="s">
        <v>53</v>
      </c>
    </row>
    <row r="21" spans="1:7" x14ac:dyDescent="0.25">
      <c r="A21" t="s">
        <v>55</v>
      </c>
      <c r="B21" t="s">
        <v>54</v>
      </c>
      <c r="C21" t="s">
        <v>129</v>
      </c>
      <c r="D21" s="14">
        <v>100</v>
      </c>
      <c r="E21" s="14">
        <v>160</v>
      </c>
      <c r="F21" s="11"/>
      <c r="G21" t="s">
        <v>56</v>
      </c>
    </row>
    <row r="22" spans="1:7" x14ac:dyDescent="0.25">
      <c r="A22" t="s">
        <v>55</v>
      </c>
      <c r="B22" t="s">
        <v>57</v>
      </c>
      <c r="C22" t="s">
        <v>129</v>
      </c>
      <c r="D22" s="14">
        <v>65</v>
      </c>
      <c r="E22" s="14">
        <v>90</v>
      </c>
      <c r="F22" s="11"/>
      <c r="G22" t="s">
        <v>58</v>
      </c>
    </row>
    <row r="23" spans="1:7" x14ac:dyDescent="0.25">
      <c r="A23" t="s">
        <v>55</v>
      </c>
      <c r="B23" t="s">
        <v>59</v>
      </c>
      <c r="C23" t="s">
        <v>129</v>
      </c>
      <c r="D23" s="14">
        <v>85</v>
      </c>
      <c r="E23" s="14">
        <v>145</v>
      </c>
      <c r="F23" s="11"/>
      <c r="G23" t="s">
        <v>60</v>
      </c>
    </row>
    <row r="24" spans="1:7" x14ac:dyDescent="0.25">
      <c r="A24" t="s">
        <v>55</v>
      </c>
      <c r="B24" t="s">
        <v>61</v>
      </c>
      <c r="C24" t="s">
        <v>129</v>
      </c>
      <c r="D24" s="14">
        <v>85</v>
      </c>
      <c r="E24" s="14">
        <v>145</v>
      </c>
      <c r="F24" s="11"/>
      <c r="G24" t="s">
        <v>62</v>
      </c>
    </row>
    <row r="25" spans="1:7" x14ac:dyDescent="0.25">
      <c r="A25" t="s">
        <v>55</v>
      </c>
      <c r="B25" t="s">
        <v>63</v>
      </c>
      <c r="C25" t="s">
        <v>129</v>
      </c>
      <c r="D25" s="14">
        <v>145</v>
      </c>
      <c r="E25" s="14">
        <v>205</v>
      </c>
      <c r="F25" s="11"/>
      <c r="G25" t="s">
        <v>64</v>
      </c>
    </row>
    <row r="26" spans="1:7" x14ac:dyDescent="0.25">
      <c r="A26" t="s">
        <v>55</v>
      </c>
      <c r="B26" t="s">
        <v>65</v>
      </c>
      <c r="C26" t="s">
        <v>129</v>
      </c>
      <c r="D26" s="14">
        <v>190</v>
      </c>
      <c r="E26" s="14">
        <v>305</v>
      </c>
      <c r="F26" s="11"/>
      <c r="G26" t="s">
        <v>41</v>
      </c>
    </row>
    <row r="27" spans="1:7" x14ac:dyDescent="0.25">
      <c r="A27" t="s">
        <v>67</v>
      </c>
      <c r="B27" t="s">
        <v>66</v>
      </c>
      <c r="C27" t="s">
        <v>129</v>
      </c>
      <c r="D27" s="14">
        <v>65</v>
      </c>
      <c r="E27" s="14">
        <v>95</v>
      </c>
      <c r="F27" s="11"/>
      <c r="G27" t="s">
        <v>68</v>
      </c>
    </row>
    <row r="28" spans="1:7" x14ac:dyDescent="0.25">
      <c r="A28" t="s">
        <v>67</v>
      </c>
      <c r="B28" t="s">
        <v>69</v>
      </c>
      <c r="C28" t="s">
        <v>129</v>
      </c>
      <c r="D28" s="14">
        <v>85</v>
      </c>
      <c r="E28" s="14">
        <v>145</v>
      </c>
      <c r="F28" s="11"/>
      <c r="G28" t="s">
        <v>70</v>
      </c>
    </row>
    <row r="29" spans="1:7" x14ac:dyDescent="0.25">
      <c r="A29" t="s">
        <v>67</v>
      </c>
      <c r="B29" t="s">
        <v>71</v>
      </c>
      <c r="C29" t="s">
        <v>129</v>
      </c>
      <c r="D29" s="14">
        <v>20</v>
      </c>
      <c r="E29" s="14">
        <v>30</v>
      </c>
      <c r="F29" s="11"/>
      <c r="G29" t="s">
        <v>72</v>
      </c>
    </row>
    <row r="30" spans="1:7" x14ac:dyDescent="0.25">
      <c r="A30" t="s">
        <v>74</v>
      </c>
      <c r="B30" t="s">
        <v>73</v>
      </c>
      <c r="C30" t="s">
        <v>129</v>
      </c>
      <c r="D30" s="14">
        <v>30</v>
      </c>
      <c r="E30" s="14">
        <v>50</v>
      </c>
      <c r="F30" s="11"/>
      <c r="G30" t="s">
        <v>41</v>
      </c>
    </row>
    <row r="31" spans="1:7" x14ac:dyDescent="0.25">
      <c r="A31" t="s">
        <v>74</v>
      </c>
      <c r="B31" t="s">
        <v>75</v>
      </c>
      <c r="C31" t="s">
        <v>129</v>
      </c>
      <c r="D31" s="14">
        <v>170</v>
      </c>
      <c r="E31" s="14">
        <v>285</v>
      </c>
      <c r="F31" s="11"/>
      <c r="G31" t="s">
        <v>76</v>
      </c>
    </row>
    <row r="32" spans="1:7" x14ac:dyDescent="0.25">
      <c r="A32" t="s">
        <v>74</v>
      </c>
      <c r="B32" t="s">
        <v>77</v>
      </c>
      <c r="C32" t="s">
        <v>129</v>
      </c>
      <c r="D32" s="14">
        <v>50</v>
      </c>
      <c r="E32" s="14">
        <v>75</v>
      </c>
      <c r="F32" s="11"/>
      <c r="G32" t="s">
        <v>41</v>
      </c>
    </row>
    <row r="33" spans="1:7" x14ac:dyDescent="0.25">
      <c r="A33" t="s">
        <v>74</v>
      </c>
      <c r="B33" t="s">
        <v>78</v>
      </c>
      <c r="C33" t="s">
        <v>129</v>
      </c>
      <c r="D33" s="14">
        <v>90</v>
      </c>
      <c r="E33" s="14">
        <v>120</v>
      </c>
      <c r="F33" s="11"/>
      <c r="G33" t="s">
        <v>41</v>
      </c>
    </row>
    <row r="34" spans="1:7" x14ac:dyDescent="0.25">
      <c r="A34" t="s">
        <v>74</v>
      </c>
      <c r="B34" t="s">
        <v>79</v>
      </c>
      <c r="C34" t="s">
        <v>129</v>
      </c>
      <c r="D34" s="14">
        <v>40</v>
      </c>
      <c r="E34" s="14">
        <v>60</v>
      </c>
      <c r="F34" s="11"/>
      <c r="G34" t="s">
        <v>41</v>
      </c>
    </row>
    <row r="35" spans="1:7" x14ac:dyDescent="0.25">
      <c r="A35" t="s">
        <v>81</v>
      </c>
      <c r="B35" t="s">
        <v>80</v>
      </c>
      <c r="C35" t="s">
        <v>129</v>
      </c>
      <c r="D35" s="14">
        <v>85</v>
      </c>
      <c r="E35" s="14">
        <v>120</v>
      </c>
      <c r="F35" s="11"/>
      <c r="G35" t="s">
        <v>82</v>
      </c>
    </row>
    <row r="36" spans="1:7" x14ac:dyDescent="0.25">
      <c r="A36" t="s">
        <v>81</v>
      </c>
      <c r="B36" t="s">
        <v>83</v>
      </c>
      <c r="C36" t="s">
        <v>129</v>
      </c>
      <c r="D36" s="14">
        <v>90</v>
      </c>
      <c r="E36" s="14">
        <v>120</v>
      </c>
      <c r="F36" s="11"/>
      <c r="G36" t="s">
        <v>41</v>
      </c>
    </row>
    <row r="37" spans="1:7" x14ac:dyDescent="0.25">
      <c r="A37" t="s">
        <v>81</v>
      </c>
      <c r="B37" t="s">
        <v>84</v>
      </c>
      <c r="C37" t="s">
        <v>129</v>
      </c>
      <c r="D37" s="14">
        <v>65</v>
      </c>
      <c r="E37" s="14">
        <v>90</v>
      </c>
      <c r="F37" s="11"/>
      <c r="G37" t="s">
        <v>85</v>
      </c>
    </row>
    <row r="38" spans="1:7" x14ac:dyDescent="0.25">
      <c r="A38" t="s">
        <v>81</v>
      </c>
      <c r="B38" t="s">
        <v>86</v>
      </c>
      <c r="C38" t="s">
        <v>129</v>
      </c>
      <c r="D38" s="14">
        <v>110</v>
      </c>
      <c r="E38" s="14">
        <v>170</v>
      </c>
      <c r="F38" s="11"/>
      <c r="G38" t="s">
        <v>41</v>
      </c>
    </row>
    <row r="39" spans="1:7" x14ac:dyDescent="0.25">
      <c r="A39" t="s">
        <v>88</v>
      </c>
      <c r="B39" t="s">
        <v>87</v>
      </c>
      <c r="C39" t="s">
        <v>129</v>
      </c>
      <c r="D39" s="14">
        <v>130</v>
      </c>
      <c r="E39" s="14">
        <v>240</v>
      </c>
      <c r="F39" s="11"/>
      <c r="G39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Your Numbers</vt:lpstr>
      <vt:lpstr>Task Pricing</vt:lpstr>
      <vt:lpstr>Quote Builder</vt:lpstr>
      <vt:lpstr>Rate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