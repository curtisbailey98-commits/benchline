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ed Cost" state="visible" r:id="rId4"/>
    <sheet sheetId="2" name="Does It Pay" state="visible" r:id="rId5"/>
    <sheet sheetId="3" name="Team Job Pricing" state="visible" r:id="rId6"/>
  </sheets>
  <calcPr calcId="171027" fullCalcOnLoad="1"/>
</workbook>
</file>

<file path=xl/sharedStrings.xml><?xml version="1.0" encoding="utf-8"?>
<sst xmlns="http://schemas.openxmlformats.org/spreadsheetml/2006/main" count="53" uniqueCount="47">
  <si>
    <t>Helper Loaded Cost — what an hour of help really costs</t>
  </si>
  <si>
    <t>Estimates only. Payroll tax and workers' comp rates vary by state and job class — confirm with your accountant and insurer.</t>
  </si>
  <si>
    <t>Yellow cells are inputs — change them. Green cells are results (formulas).</t>
  </si>
  <si>
    <t>Hourly wage</t>
  </si>
  <si>
    <t>Check local minimum wage and what similar jobs pay</t>
  </si>
  <si>
    <t>Hours per week</t>
  </si>
  <si>
    <t/>
  </si>
  <si>
    <t>Weeks worked per year</t>
  </si>
  <si>
    <t>Employer payroll taxes (% of wages) — FICA 7.65% + unemployment</t>
  </si>
  <si>
    <t>Estimate; your payroll provider will give exact numbers</t>
  </si>
  <si>
    <t>Workers' comp (% of wages)</t>
  </si>
  <si>
    <t>Varies a lot by state and trade class — get a quote</t>
  </si>
  <si>
    <t>Payroll service (per month)</t>
  </si>
  <si>
    <t>Uniform, PPE, tools per year</t>
  </si>
  <si>
    <t>Extra vehicle / fuel cost per week</t>
  </si>
  <si>
    <t>If they ride along or drive a second vehicle</t>
  </si>
  <si>
    <t>Annual wages</t>
  </si>
  <si>
    <t>Annual payroll taxes + workers' comp</t>
  </si>
  <si>
    <t>Annual overhead (payroll service, gear, vehicle)</t>
  </si>
  <si>
    <t>TOTAL annual cost</t>
  </si>
  <si>
    <t>Loaded cost per paid hour</t>
  </si>
  <si>
    <t>Loaded cost per week</t>
  </si>
  <si>
    <t>Does a Helper Pay for Themselves?</t>
  </si>
  <si>
    <t>Revenue you bill per labor hour (your job price ÷ labor hours)</t>
  </si>
  <si>
    <t>Helper productivity vs. you (first 3 months)</t>
  </si>
  <si>
    <t>Helper productivity vs. you (after 3 months)</t>
  </si>
  <si>
    <t>Helper hours per week</t>
  </si>
  <si>
    <t>Helper loaded cost per hour</t>
  </si>
  <si>
    <t>Can you book enough extra work to fill their hours? (Yes/No)</t>
  </si>
  <si>
    <t>Yes</t>
  </si>
  <si>
    <t>Added revenue per week — first 3 months</t>
  </si>
  <si>
    <t>Added revenue per week — after 3 months</t>
  </si>
  <si>
    <t>Helper cost per week</t>
  </si>
  <si>
    <t>Net per week — first 3 months</t>
  </si>
  <si>
    <t>Net per week — after 3 months</t>
  </si>
  <si>
    <t>Break-even productivity (helper must produce at least this % of you)</t>
  </si>
  <si>
    <t>Verdict</t>
  </si>
  <si>
    <t>Team Job Pricing — keep the price, shorten the job</t>
  </si>
  <si>
    <t>Two people rarely finish in exactly half the time. Price the job, not the head count.</t>
  </si>
  <si>
    <t>Job price (same as solo)</t>
  </si>
  <si>
    <t>Your solo hours for this job</t>
  </si>
  <si>
    <t>Team speed-up factor (1.6 = two people finish 1.6× faster)</t>
  </si>
  <si>
    <t>Team hours on site (each person)</t>
  </si>
  <si>
    <t>Helper cost for this job</t>
  </si>
  <si>
    <t>Your earnings per hour — solo</t>
  </si>
  <si>
    <t>Your earnings per hour — with helper</t>
  </si>
  <si>
    <t>Hours of your day freed for another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</si>
</sst>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0.0%"/>
    <numFmt numFmtId="166" formatCode="&quot;$&quot;#,##0"/>
    <numFmt numFmtId="167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64" fontId="0" fillId="2" borderId="0" xfId="0" applyNumberFormat="1" applyFill="1"/>
    <xf numFmtId="1" fontId="0" fillId="2" borderId="0" xfId="0" applyNumberFormat="1" applyFill="1"/>
    <xf numFmtId="165" fontId="0" fillId="2" borderId="0" xfId="0" applyNumberFormat="1" applyFill="1"/>
    <xf numFmtId="166" fontId="0" fillId="0" borderId="0" xfId="0" applyNumberFormat="1"/>
    <xf numFmtId="0" fontId="3" fillId="0" borderId="0" xfId="0" applyFont="1"/>
    <xf numFmtId="166" fontId="3" fillId="3" borderId="0" xfId="0" applyNumberFormat="1" applyFont="1" applyFill="1"/>
    <xf numFmtId="164" fontId="3" fillId="3" borderId="0" xfId="0" applyNumberFormat="1" applyFont="1" applyFill="1"/>
    <xf numFmtId="9" fontId="0" fillId="2" borderId="0" xfId="0" applyNumberFormat="1" applyFill="1"/>
    <xf numFmtId="0" fontId="0" fillId="2" borderId="0" xfId="0" applyFill="1"/>
    <xf numFmtId="9" fontId="3" fillId="3" borderId="0" xfId="0" applyNumberFormat="1" applyFont="1" applyFill="1"/>
    <xf numFmtId="2" fontId="0" fillId="2" borderId="0" xfId="0" applyNumberFormat="1" applyFill="1"/>
    <xf numFmtId="167" fontId="0" fillId="2" borderId="0" xfId="0" applyNumberFormat="1" applyFill="1"/>
    <xf numFmtId="2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60" customWidth="1"/>
    <col min="2" max="2" width="16" customWidth="1"/>
    <col min="3" max="3" width="5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3" x14ac:dyDescent="0.25">
      <c r="A5" t="s">
        <v>3</v>
      </c>
      <c r="B5" s="3">
        <v>18</v>
      </c>
      <c r="C5" t="s">
        <v>4</v>
      </c>
    </row>
    <row r="6" spans="1:3" x14ac:dyDescent="0.25">
      <c r="A6" t="s">
        <v>5</v>
      </c>
      <c r="B6" s="4">
        <v>25</v>
      </c>
      <c r="C6" t="s">
        <v>6</v>
      </c>
    </row>
    <row r="7" spans="1:3" x14ac:dyDescent="0.25">
      <c r="A7" t="s">
        <v>7</v>
      </c>
      <c r="B7" s="4">
        <v>46</v>
      </c>
      <c r="C7" t="s">
        <v>6</v>
      </c>
    </row>
    <row r="8" spans="1:3" x14ac:dyDescent="0.25">
      <c r="A8" t="s">
        <v>8</v>
      </c>
      <c r="B8" s="5">
        <v>0.1</v>
      </c>
      <c r="C8" t="s">
        <v>9</v>
      </c>
    </row>
    <row r="9" spans="1:3" x14ac:dyDescent="0.25">
      <c r="A9" t="s">
        <v>10</v>
      </c>
      <c r="B9" s="5">
        <v>0.06</v>
      </c>
      <c r="C9" t="s">
        <v>11</v>
      </c>
    </row>
    <row r="10" spans="1:3" x14ac:dyDescent="0.25">
      <c r="A10" t="s">
        <v>12</v>
      </c>
      <c r="B10" s="3">
        <v>50</v>
      </c>
      <c r="C10" t="s">
        <v>6</v>
      </c>
    </row>
    <row r="11" spans="1:3" x14ac:dyDescent="0.25">
      <c r="A11" t="s">
        <v>13</v>
      </c>
      <c r="B11" s="3">
        <v>300</v>
      </c>
      <c r="C11" t="s">
        <v>6</v>
      </c>
    </row>
    <row r="12" spans="1:3" x14ac:dyDescent="0.25">
      <c r="A12" t="s">
        <v>14</v>
      </c>
      <c r="B12" s="3">
        <v>25</v>
      </c>
      <c r="C12" t="s">
        <v>15</v>
      </c>
    </row>
    <row r="14" spans="1:2" x14ac:dyDescent="0.25">
      <c r="A14" t="s">
        <v>16</v>
      </c>
      <c r="B14" s="6">
        <f>B5*B6*B7</f>
      </c>
    </row>
    <row r="15" spans="1:2" x14ac:dyDescent="0.25">
      <c r="A15" t="s">
        <v>17</v>
      </c>
      <c r="B15" s="6">
        <f>B14*(B8+B9)</f>
      </c>
    </row>
    <row r="16" spans="1:2" x14ac:dyDescent="0.25">
      <c r="A16" t="s">
        <v>18</v>
      </c>
      <c r="B16" s="6">
        <f>B10*12+B11+B12*B7</f>
      </c>
    </row>
    <row r="17" spans="1:2" x14ac:dyDescent="0.25">
      <c r="A17" s="7" t="s">
        <v>19</v>
      </c>
      <c r="B17" s="8">
        <f>B14+B15+B16</f>
      </c>
    </row>
    <row r="18" spans="1:2" x14ac:dyDescent="0.25">
      <c r="A18" t="s">
        <v>20</v>
      </c>
      <c r="B18" s="9">
        <f>IF(B6*B7&gt;0,B17/(B6*B7),0)</f>
      </c>
    </row>
    <row r="19" spans="1:2" x14ac:dyDescent="0.25">
      <c r="A19" t="s">
        <v>21</v>
      </c>
      <c r="B19" s="8">
        <f>IF(B7&gt;0,B17/B7,0)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60" customWidth="1"/>
    <col min="2" max="2" width="16" customWidth="1"/>
    <col min="3" max="3" width="56" customWidth="1"/>
  </cols>
  <sheetData>
    <row r="1" spans="1:1" x14ac:dyDescent="0.25">
      <c r="A1" s="1" t="s">
        <v>22</v>
      </c>
    </row>
    <row r="3" spans="1:1" x14ac:dyDescent="0.25">
      <c r="A3" s="2" t="s">
        <v>2</v>
      </c>
    </row>
    <row r="5" spans="1:2" x14ac:dyDescent="0.25">
      <c r="A5" t="s">
        <v>23</v>
      </c>
      <c r="B5" s="3">
        <v>60</v>
      </c>
    </row>
    <row r="6" spans="1:2" x14ac:dyDescent="0.25">
      <c r="A6" t="s">
        <v>24</v>
      </c>
      <c r="B6" s="10">
        <v>0.6</v>
      </c>
    </row>
    <row r="7" spans="1:2" x14ac:dyDescent="0.25">
      <c r="A7" t="s">
        <v>25</v>
      </c>
      <c r="B7" s="10">
        <v>0.8</v>
      </c>
    </row>
    <row r="8" spans="1:2" x14ac:dyDescent="0.25">
      <c r="A8" t="s">
        <v>26</v>
      </c>
      <c r="B8" s="4">
        <f>'Loaded Cost'!B6</f>
      </c>
    </row>
    <row r="9" spans="1:2" x14ac:dyDescent="0.25">
      <c r="A9" t="s">
        <v>27</v>
      </c>
      <c r="B9" s="3">
        <f>'Loaded Cost'!B18</f>
      </c>
    </row>
    <row r="10" spans="1:2" x14ac:dyDescent="0.25">
      <c r="A10" t="s">
        <v>28</v>
      </c>
      <c r="B10" s="11" t="s">
        <v>29</v>
      </c>
    </row>
    <row r="12" spans="1:2" x14ac:dyDescent="0.25">
      <c r="A12" t="s">
        <v>30</v>
      </c>
      <c r="B12" s="6">
        <f>IF(B10="Yes",B8*B6*B5,0)</f>
      </c>
    </row>
    <row r="13" spans="1:2" x14ac:dyDescent="0.25">
      <c r="A13" t="s">
        <v>31</v>
      </c>
      <c r="B13" s="6">
        <f>IF(B10="Yes",B8*B7*B5,0)</f>
      </c>
    </row>
    <row r="14" spans="1:2" x14ac:dyDescent="0.25">
      <c r="A14" t="s">
        <v>32</v>
      </c>
      <c r="B14" s="6">
        <f>B8*B9</f>
      </c>
    </row>
    <row r="15" spans="1:2" x14ac:dyDescent="0.25">
      <c r="A15" t="s">
        <v>33</v>
      </c>
      <c r="B15" s="8">
        <f>B12-B14</f>
      </c>
    </row>
    <row r="16" spans="1:2" x14ac:dyDescent="0.25">
      <c r="A16" t="s">
        <v>34</v>
      </c>
      <c r="B16" s="8">
        <f>B13-B14</f>
      </c>
    </row>
    <row r="17" spans="1:2" x14ac:dyDescent="0.25">
      <c r="A17" t="s">
        <v>35</v>
      </c>
      <c r="B17" s="12">
        <f>IF(B5&gt;0,B9/B5,0)</f>
      </c>
    </row>
    <row r="18" spans="1:2" x14ac:dyDescent="0.25">
      <c r="A18" t="s">
        <v>36</v>
      </c>
      <c r="B18" s="7">
        <f>IF(B10="No","Not yet — fill the calendar first",IF(B16&gt;0,IF(B15&gt;=0,"Pays from month one","Pays after ramp-up"),"Raise prices before hiring"))</f>
      </c>
    </row>
  </sheetData>
  <dataValidations count="1">
    <dataValidation type="list" allowBlank="1" sqref="B1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60" customWidth="1"/>
    <col min="2" max="2" width="16" customWidth="1"/>
  </cols>
  <sheetData>
    <row r="1" spans="1:1" x14ac:dyDescent="0.25">
      <c r="A1" s="1" t="s">
        <v>37</v>
      </c>
    </row>
    <row r="2" spans="1:1" x14ac:dyDescent="0.25">
      <c r="A2" s="2" t="s">
        <v>38</v>
      </c>
    </row>
    <row r="3" spans="1:1" x14ac:dyDescent="0.25">
      <c r="A3" s="2" t="s">
        <v>2</v>
      </c>
    </row>
    <row r="5" spans="1:2" x14ac:dyDescent="0.25">
      <c r="A5" t="s">
        <v>39</v>
      </c>
      <c r="B5" s="3">
        <v>300</v>
      </c>
    </row>
    <row r="6" spans="1:2" x14ac:dyDescent="0.25">
      <c r="A6" t="s">
        <v>40</v>
      </c>
      <c r="B6" s="13">
        <v>4</v>
      </c>
    </row>
    <row r="7" spans="1:2" x14ac:dyDescent="0.25">
      <c r="A7" t="s">
        <v>41</v>
      </c>
      <c r="B7" s="14">
        <v>1.6</v>
      </c>
    </row>
    <row r="8" spans="1:2" x14ac:dyDescent="0.25">
      <c r="A8" t="s">
        <v>27</v>
      </c>
      <c r="B8" s="3">
        <f>'Loaded Cost'!B18</f>
      </c>
    </row>
    <row r="10" spans="1:2" x14ac:dyDescent="0.25">
      <c r="A10" t="s">
        <v>42</v>
      </c>
      <c r="B10" s="15">
        <f>B6/B7</f>
      </c>
    </row>
    <row r="11" spans="1:2" x14ac:dyDescent="0.25">
      <c r="A11" t="s">
        <v>43</v>
      </c>
      <c r="B11" s="9">
        <f>B10*B8</f>
      </c>
    </row>
    <row r="12" spans="1:2" x14ac:dyDescent="0.25">
      <c r="A12" t="s">
        <v>44</v>
      </c>
      <c r="B12" s="9">
        <f>B5/B6</f>
      </c>
    </row>
    <row r="13" spans="1:2" x14ac:dyDescent="0.25">
      <c r="A13" t="s">
        <v>45</v>
      </c>
      <c r="B13" s="9">
        <f>(B5-B11)/B10</f>
      </c>
    </row>
    <row r="14" spans="1:2" x14ac:dyDescent="0.25">
      <c r="A14" t="s">
        <v>46</v>
      </c>
      <c r="B14" s="15">
        <f>B6-B10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Loaded Cost</vt:lpstr>
      <vt:lpstr>Does It Pay</vt:lpstr>
      <vt:lpstr>Team Job Pricing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Benchline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