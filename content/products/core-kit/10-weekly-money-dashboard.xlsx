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3" name="Dashboard" state="visible" r:id="rId4"/>
    <sheet sheetId="1" name="Job Log" state="visible" r:id="rId5"/>
    <sheet sheetId="2" name="Expenses" state="visible" r:id="rId6"/>
  </sheets>
  <calcPr calcId="171027" fullCalcOnLoad="1"/>
</workbook>
</file>

<file path=xl/sharedStrings.xml><?xml version="1.0" encoding="utf-8"?>
<sst xmlns="http://schemas.openxmlformats.org/spreadsheetml/2006/main" count="64" uniqueCount="55">
  <si>
    <t>Weekly Money Dashboard</t>
  </si>
  <si>
    <t>Fill in the Job Log and Expenses tabs; this page updates itself. Clear the example rows first.</t>
  </si>
  <si>
    <t>Yellow cells are inputs — change them. Green cells are results (formulas).</t>
  </si>
  <si>
    <t>Tax set-aside (% of profit) — ask your accountant</t>
  </si>
  <si>
    <t>Your target profit per hour (from the Job Pricing Calculator)</t>
  </si>
  <si>
    <t>MONEY IN (jobs)</t>
  </si>
  <si>
    <t>Jobs completed</t>
  </si>
  <si>
    <t>Average job price</t>
  </si>
  <si>
    <t>Job costs (materials + other job costs)</t>
  </si>
  <si>
    <t>Business expenses</t>
  </si>
  <si>
    <t>MONEY OUT (total)</t>
  </si>
  <si>
    <t>Profit before tax</t>
  </si>
  <si>
    <t>Set aside for taxes</t>
  </si>
  <si>
    <t>WHAT YOU ACTUALLY KEPT</t>
  </si>
  <si>
    <t>Hours worked on jobs (on-site + drive)</t>
  </si>
  <si>
    <t>Job profitability: average profit per hour</t>
  </si>
  <si>
    <t>Jobs below your target profit per hour</t>
  </si>
  <si>
    <t>Re-price or re-scope these next time.</t>
  </si>
  <si>
    <t>Best job (highest profit per hour)</t>
  </si>
  <si>
    <t>Worst job (lowest profit per hour)</t>
  </si>
  <si>
    <t>Expenses by category</t>
  </si>
  <si>
    <t>Amount</t>
  </si>
  <si>
    <t>Fuel</t>
  </si>
  <si>
    <t>Vehicle</t>
  </si>
  <si>
    <t>Insurance</t>
  </si>
  <si>
    <t>Supplies</t>
  </si>
  <si>
    <t>Equipment</t>
  </si>
  <si>
    <t>Software/phone</t>
  </si>
  <si>
    <t>Marketing</t>
  </si>
  <si>
    <t>Fees</t>
  </si>
  <si>
    <t>Helper pay</t>
  </si>
  <si>
    <t>Other</t>
  </si>
  <si>
    <t>Job Log — every job, every week</t>
  </si>
  <si>
    <t>One row per job. Profit per hour is what you actually earned for your time on that job.</t>
  </si>
  <si>
    <t>Date</t>
  </si>
  <si>
    <t>Customer</t>
  </si>
  <si>
    <t>Service</t>
  </si>
  <si>
    <t>Price charged</t>
  </si>
  <si>
    <t>Materials $</t>
  </si>
  <si>
    <t>Other job costs $</t>
  </si>
  <si>
    <t>On-site hrs</t>
  </si>
  <si>
    <t>Drive hrs</t>
  </si>
  <si>
    <t>Job profit</t>
  </si>
  <si>
    <t>Profit / hour</t>
  </si>
  <si>
    <t>2026-01-05</t>
  </si>
  <si>
    <t>Example — replace</t>
  </si>
  <si>
    <t>Standard clean</t>
  </si>
  <si>
    <t>2026-01-06</t>
  </si>
  <si>
    <t>Deep clean</t>
  </si>
  <si>
    <t>Business Expenses</t>
  </si>
  <si>
    <t>Everything the business spent this period that isn't tied to one job.</t>
  </si>
  <si>
    <t>What</t>
  </si>
  <si>
    <t>Category</t>
  </si>
  <si>
    <t>Fuel — example</t>
  </si>
  <si>
    <t>Supplies restock — 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</si>
</sst>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i/>
      <color rgb="FF666666"/>
    </font>
    <font>
      <b/>
    </font>
    <font>
      <b/>
      <color rgb="FFE8A838"/>
    </font>
  </fonts>
  <fills count="5">
    <fill>
      <patternFill patternType="none"/>
    </fill>
    <fill>
      <patternFill patternType="gray125"/>
    </fill>
    <fill>
      <patternFill patternType="solid">
        <fgColor rgb="FFFFF3CD"/>
      </patternFill>
    </fill>
    <fill>
      <patternFill patternType="solid">
        <fgColor rgb="FFE8F5E9"/>
      </patternFill>
    </fill>
    <fill>
      <patternFill patternType="solid">
        <fgColor rgb="FF1C20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9" fontId="0" fillId="2" borderId="0" xfId="0" applyNumberFormat="1" applyFill="1"/>
    <xf numFmtId="164" fontId="0" fillId="2" borderId="0" xfId="0" applyNumberFormat="1" applyFill="1"/>
    <xf numFmtId="0" fontId="3" fillId="0" borderId="0" xfId="0" applyFont="1"/>
    <xf numFmtId="164" fontId="3" fillId="3" borderId="0" xfId="0" applyNumberFormat="1" applyFont="1" applyFill="1"/>
    <xf numFmtId="0" fontId="3" fillId="3" borderId="0" xfId="0" applyFont="1" applyFill="1"/>
    <xf numFmtId="164" fontId="0" fillId="0" borderId="0" xfId="0" applyNumberFormat="1"/>
    <xf numFmtId="2" fontId="0" fillId="0" borderId="0" xfId="0" applyNumberFormat="1"/>
    <xf numFmtId="0" fontId="4" fillId="4" borderId="0" xfId="0" applyFont="1" applyFill="1" applyAlignment="1">
      <alignment vertical="center" wrapText="1"/>
    </xf>
    <xf numFmtId="0" fontId="0" fillId="2" borderId="0" xfId="0" applyFill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"/>
  <sheetFormatPr defaultRowHeight="15" outlineLevelRow="0" outlineLevelCol="0" x14ac:dyDescent="55"/>
  <cols>
    <col min="1" max="1" width="12" customWidth="1"/>
    <col min="2" max="3" width="22" customWidth="1"/>
    <col min="4" max="6" width="12" customWidth="1"/>
    <col min="7" max="8" width="10" customWidth="1"/>
    <col min="9" max="10" width="14" customWidth="1"/>
  </cols>
  <sheetData>
    <row r="1" spans="1:1" x14ac:dyDescent="0.25">
      <c r="A1" s="1" t="s">
        <v>32</v>
      </c>
    </row>
    <row r="2" spans="1:1" x14ac:dyDescent="0.25">
      <c r="A2" s="2" t="s">
        <v>33</v>
      </c>
    </row>
    <row r="3" spans="1:1" x14ac:dyDescent="0.25">
      <c r="A3" s="2" t="s">
        <v>2</v>
      </c>
    </row>
    <row r="5" spans="1:10" x14ac:dyDescent="0.25">
      <c r="A5" s="10" t="s">
        <v>34</v>
      </c>
      <c r="B5" s="10" t="s">
        <v>35</v>
      </c>
      <c r="C5" s="10" t="s">
        <v>36</v>
      </c>
      <c r="D5" s="10" t="s">
        <v>37</v>
      </c>
      <c r="E5" s="10" t="s">
        <v>38</v>
      </c>
      <c r="F5" s="10" t="s">
        <v>39</v>
      </c>
      <c r="G5" s="10" t="s">
        <v>40</v>
      </c>
      <c r="H5" s="10" t="s">
        <v>41</v>
      </c>
      <c r="I5" s="10" t="s">
        <v>42</v>
      </c>
      <c r="J5" s="10" t="s">
        <v>43</v>
      </c>
    </row>
    <row r="6" spans="1:10" x14ac:dyDescent="0.25">
      <c r="A6" s="11" t="s">
        <v>44</v>
      </c>
      <c r="B6" s="11" t="s">
        <v>45</v>
      </c>
      <c r="C6" s="11" t="s">
        <v>46</v>
      </c>
      <c r="D6" s="4">
        <v>180</v>
      </c>
      <c r="E6" s="4">
        <v>8</v>
      </c>
      <c r="F6" s="4">
        <v>0</v>
      </c>
      <c r="G6" s="12">
        <v>3</v>
      </c>
      <c r="H6" s="12">
        <v>0.5</v>
      </c>
      <c r="I6" s="8">
        <f>IF(D6="","",D6-E6-F6)</f>
      </c>
      <c r="J6" s="8">
        <f>IF(OR(D6="",G6+H6=0),"",I6/(G6+H6))</f>
      </c>
    </row>
    <row r="7" spans="1:10" x14ac:dyDescent="0.25">
      <c r="A7" s="11" t="s">
        <v>47</v>
      </c>
      <c r="B7" s="11" t="s">
        <v>45</v>
      </c>
      <c r="C7" s="11" t="s">
        <v>48</v>
      </c>
      <c r="D7" s="4">
        <v>340</v>
      </c>
      <c r="E7" s="4">
        <v>15</v>
      </c>
      <c r="F7" s="4">
        <v>0</v>
      </c>
      <c r="G7" s="12">
        <v>5.5</v>
      </c>
      <c r="H7" s="12">
        <v>0.6</v>
      </c>
      <c r="I7" s="8">
        <f>IF(D7="","",D7-E7-F7)</f>
      </c>
      <c r="J7" s="8">
        <f>IF(OR(D7="",G7+H7=0),"",I7/(G7+H7))</f>
      </c>
    </row>
    <row r="8" spans="1:10" x14ac:dyDescent="0.25">
      <c r="A8" s="11"/>
      <c r="B8" s="11"/>
      <c r="C8" s="11"/>
      <c r="D8" s="4"/>
      <c r="E8" s="4"/>
      <c r="F8" s="4"/>
      <c r="G8" s="12"/>
      <c r="H8" s="12"/>
      <c r="I8" s="8">
        <f>IF(D8="","",D8-E8-F8)</f>
      </c>
      <c r="J8" s="8">
        <f>IF(OR(D8="",G8+H8=0),"",I8/(G8+H8))</f>
      </c>
    </row>
    <row r="9" spans="1:10" x14ac:dyDescent="0.25">
      <c r="A9" s="11"/>
      <c r="B9" s="11"/>
      <c r="C9" s="11"/>
      <c r="D9" s="4"/>
      <c r="E9" s="4"/>
      <c r="F9" s="4"/>
      <c r="G9" s="12"/>
      <c r="H9" s="12"/>
      <c r="I9" s="8">
        <f>IF(D9="","",D9-E9-F9)</f>
      </c>
      <c r="J9" s="8">
        <f>IF(OR(D9="",G9+H9=0),"",I9/(G9+H9))</f>
      </c>
    </row>
    <row r="10" spans="1:10" x14ac:dyDescent="0.25">
      <c r="A10" s="11"/>
      <c r="B10" s="11"/>
      <c r="C10" s="11"/>
      <c r="D10" s="4"/>
      <c r="E10" s="4"/>
      <c r="F10" s="4"/>
      <c r="G10" s="12"/>
      <c r="H10" s="12"/>
      <c r="I10" s="8">
        <f>IF(D10="","",D10-E10-F10)</f>
      </c>
      <c r="J10" s="8">
        <f>IF(OR(D10="",G10+H10=0),"",I10/(G10+H10))</f>
      </c>
    </row>
    <row r="11" spans="1:10" x14ac:dyDescent="0.25">
      <c r="A11" s="11"/>
      <c r="B11" s="11"/>
      <c r="C11" s="11"/>
      <c r="D11" s="4"/>
      <c r="E11" s="4"/>
      <c r="F11" s="4"/>
      <c r="G11" s="12"/>
      <c r="H11" s="12"/>
      <c r="I11" s="8">
        <f>IF(D11="","",D11-E11-F11)</f>
      </c>
      <c r="J11" s="8">
        <f>IF(OR(D11="",G11+H11=0),"",I11/(G11+H11))</f>
      </c>
    </row>
    <row r="12" spans="1:10" x14ac:dyDescent="0.25">
      <c r="A12" s="11"/>
      <c r="B12" s="11"/>
      <c r="C12" s="11"/>
      <c r="D12" s="4"/>
      <c r="E12" s="4"/>
      <c r="F12" s="4"/>
      <c r="G12" s="12"/>
      <c r="H12" s="12"/>
      <c r="I12" s="8">
        <f>IF(D12="","",D12-E12-F12)</f>
      </c>
      <c r="J12" s="8">
        <f>IF(OR(D12="",G12+H12=0),"",I12/(G12+H12))</f>
      </c>
    </row>
    <row r="13" spans="1:10" x14ac:dyDescent="0.25">
      <c r="A13" s="11"/>
      <c r="B13" s="11"/>
      <c r="C13" s="11"/>
      <c r="D13" s="4"/>
      <c r="E13" s="4"/>
      <c r="F13" s="4"/>
      <c r="G13" s="12"/>
      <c r="H13" s="12"/>
      <c r="I13" s="8">
        <f>IF(D13="","",D13-E13-F13)</f>
      </c>
      <c r="J13" s="8">
        <f>IF(OR(D13="",G13+H13=0),"",I13/(G13+H13))</f>
      </c>
    </row>
    <row r="14" spans="1:10" x14ac:dyDescent="0.25">
      <c r="A14" s="11"/>
      <c r="B14" s="11"/>
      <c r="C14" s="11"/>
      <c r="D14" s="4"/>
      <c r="E14" s="4"/>
      <c r="F14" s="4"/>
      <c r="G14" s="12"/>
      <c r="H14" s="12"/>
      <c r="I14" s="8">
        <f>IF(D14="","",D14-E14-F14)</f>
      </c>
      <c r="J14" s="8">
        <f>IF(OR(D14="",G14+H14=0),"",I14/(G14+H14))</f>
      </c>
    </row>
    <row r="15" spans="1:10" x14ac:dyDescent="0.25">
      <c r="A15" s="11"/>
      <c r="B15" s="11"/>
      <c r="C15" s="11"/>
      <c r="D15" s="4"/>
      <c r="E15" s="4"/>
      <c r="F15" s="4"/>
      <c r="G15" s="12"/>
      <c r="H15" s="12"/>
      <c r="I15" s="8">
        <f>IF(D15="","",D15-E15-F15)</f>
      </c>
      <c r="J15" s="8">
        <f>IF(OR(D15="",G15+H15=0),"",I15/(G15+H15))</f>
      </c>
    </row>
    <row r="16" spans="1:10" x14ac:dyDescent="0.25">
      <c r="A16" s="11"/>
      <c r="B16" s="11"/>
      <c r="C16" s="11"/>
      <c r="D16" s="4"/>
      <c r="E16" s="4"/>
      <c r="F16" s="4"/>
      <c r="G16" s="12"/>
      <c r="H16" s="12"/>
      <c r="I16" s="8">
        <f>IF(D16="","",D16-E16-F16)</f>
      </c>
      <c r="J16" s="8">
        <f>IF(OR(D16="",G16+H16=0),"",I16/(G16+H16))</f>
      </c>
    </row>
    <row r="17" spans="1:10" x14ac:dyDescent="0.25">
      <c r="A17" s="11"/>
      <c r="B17" s="11"/>
      <c r="C17" s="11"/>
      <c r="D17" s="4"/>
      <c r="E17" s="4"/>
      <c r="F17" s="4"/>
      <c r="G17" s="12"/>
      <c r="H17" s="12"/>
      <c r="I17" s="8">
        <f>IF(D17="","",D17-E17-F17)</f>
      </c>
      <c r="J17" s="8">
        <f>IF(OR(D17="",G17+H17=0),"",I17/(G17+H17))</f>
      </c>
    </row>
    <row r="18" spans="1:10" x14ac:dyDescent="0.25">
      <c r="A18" s="11"/>
      <c r="B18" s="11"/>
      <c r="C18" s="11"/>
      <c r="D18" s="4"/>
      <c r="E18" s="4"/>
      <c r="F18" s="4"/>
      <c r="G18" s="12"/>
      <c r="H18" s="12"/>
      <c r="I18" s="8">
        <f>IF(D18="","",D18-E18-F18)</f>
      </c>
      <c r="J18" s="8">
        <f>IF(OR(D18="",G18+H18=0),"",I18/(G18+H18))</f>
      </c>
    </row>
    <row r="19" spans="1:10" x14ac:dyDescent="0.25">
      <c r="A19" s="11"/>
      <c r="B19" s="11"/>
      <c r="C19" s="11"/>
      <c r="D19" s="4"/>
      <c r="E19" s="4"/>
      <c r="F19" s="4"/>
      <c r="G19" s="12"/>
      <c r="H19" s="12"/>
      <c r="I19" s="8">
        <f>IF(D19="","",D19-E19-F19)</f>
      </c>
      <c r="J19" s="8">
        <f>IF(OR(D19="",G19+H19=0),"",I19/(G19+H19))</f>
      </c>
    </row>
    <row r="20" spans="1:10" x14ac:dyDescent="0.25">
      <c r="A20" s="11"/>
      <c r="B20" s="11"/>
      <c r="C20" s="11"/>
      <c r="D20" s="4"/>
      <c r="E20" s="4"/>
      <c r="F20" s="4"/>
      <c r="G20" s="12"/>
      <c r="H20" s="12"/>
      <c r="I20" s="8">
        <f>IF(D20="","",D20-E20-F20)</f>
      </c>
      <c r="J20" s="8">
        <f>IF(OR(D20="",G20+H20=0),"",I20/(G20+H20))</f>
      </c>
    </row>
    <row r="21" spans="1:10" x14ac:dyDescent="0.25">
      <c r="A21" s="11"/>
      <c r="B21" s="11"/>
      <c r="C21" s="11"/>
      <c r="D21" s="4"/>
      <c r="E21" s="4"/>
      <c r="F21" s="4"/>
      <c r="G21" s="12"/>
      <c r="H21" s="12"/>
      <c r="I21" s="8">
        <f>IF(D21="","",D21-E21-F21)</f>
      </c>
      <c r="J21" s="8">
        <f>IF(OR(D21="",G21+H21=0),"",I21/(G21+H21))</f>
      </c>
    </row>
    <row r="22" spans="1:10" x14ac:dyDescent="0.25">
      <c r="A22" s="11"/>
      <c r="B22" s="11"/>
      <c r="C22" s="11"/>
      <c r="D22" s="4"/>
      <c r="E22" s="4"/>
      <c r="F22" s="4"/>
      <c r="G22" s="12"/>
      <c r="H22" s="12"/>
      <c r="I22" s="8">
        <f>IF(D22="","",D22-E22-F22)</f>
      </c>
      <c r="J22" s="8">
        <f>IF(OR(D22="",G22+H22=0),"",I22/(G22+H22))</f>
      </c>
    </row>
    <row r="23" spans="1:10" x14ac:dyDescent="0.25">
      <c r="A23" s="11"/>
      <c r="B23" s="11"/>
      <c r="C23" s="11"/>
      <c r="D23" s="4"/>
      <c r="E23" s="4"/>
      <c r="F23" s="4"/>
      <c r="G23" s="12"/>
      <c r="H23" s="12"/>
      <c r="I23" s="8">
        <f>IF(D23="","",D23-E23-F23)</f>
      </c>
      <c r="J23" s="8">
        <f>IF(OR(D23="",G23+H23=0),"",I23/(G23+H23))</f>
      </c>
    </row>
    <row r="24" spans="1:10" x14ac:dyDescent="0.25">
      <c r="A24" s="11"/>
      <c r="B24" s="11"/>
      <c r="C24" s="11"/>
      <c r="D24" s="4"/>
      <c r="E24" s="4"/>
      <c r="F24" s="4"/>
      <c r="G24" s="12"/>
      <c r="H24" s="12"/>
      <c r="I24" s="8">
        <f>IF(D24="","",D24-E24-F24)</f>
      </c>
      <c r="J24" s="8">
        <f>IF(OR(D24="",G24+H24=0),"",I24/(G24+H24))</f>
      </c>
    </row>
    <row r="25" spans="1:10" x14ac:dyDescent="0.25">
      <c r="A25" s="11"/>
      <c r="B25" s="11"/>
      <c r="C25" s="11"/>
      <c r="D25" s="4"/>
      <c r="E25" s="4"/>
      <c r="F25" s="4"/>
      <c r="G25" s="12"/>
      <c r="H25" s="12"/>
      <c r="I25" s="8">
        <f>IF(D25="","",D25-E25-F25)</f>
      </c>
      <c r="J25" s="8">
        <f>IF(OR(D25="",G25+H25=0),"",I25/(G25+H25))</f>
      </c>
    </row>
    <row r="26" spans="1:10" x14ac:dyDescent="0.25">
      <c r="A26" s="11"/>
      <c r="B26" s="11"/>
      <c r="C26" s="11"/>
      <c r="D26" s="4"/>
      <c r="E26" s="4"/>
      <c r="F26" s="4"/>
      <c r="G26" s="12"/>
      <c r="H26" s="12"/>
      <c r="I26" s="8">
        <f>IF(D26="","",D26-E26-F26)</f>
      </c>
      <c r="J26" s="8">
        <f>IF(OR(D26="",G26+H26=0),"",I26/(G26+H26))</f>
      </c>
    </row>
    <row r="27" spans="1:10" x14ac:dyDescent="0.25">
      <c r="A27" s="11"/>
      <c r="B27" s="11"/>
      <c r="C27" s="11"/>
      <c r="D27" s="4"/>
      <c r="E27" s="4"/>
      <c r="F27" s="4"/>
      <c r="G27" s="12"/>
      <c r="H27" s="12"/>
      <c r="I27" s="8">
        <f>IF(D27="","",D27-E27-F27)</f>
      </c>
      <c r="J27" s="8">
        <f>IF(OR(D27="",G27+H27=0),"",I27/(G27+H27))</f>
      </c>
    </row>
    <row r="28" spans="1:10" x14ac:dyDescent="0.25">
      <c r="A28" s="11"/>
      <c r="B28" s="11"/>
      <c r="C28" s="11"/>
      <c r="D28" s="4"/>
      <c r="E28" s="4"/>
      <c r="F28" s="4"/>
      <c r="G28" s="12"/>
      <c r="H28" s="12"/>
      <c r="I28" s="8">
        <f>IF(D28="","",D28-E28-F28)</f>
      </c>
      <c r="J28" s="8">
        <f>IF(OR(D28="",G28+H28=0),"",I28/(G28+H28))</f>
      </c>
    </row>
    <row r="29" spans="1:10" x14ac:dyDescent="0.25">
      <c r="A29" s="11"/>
      <c r="B29" s="11"/>
      <c r="C29" s="11"/>
      <c r="D29" s="4"/>
      <c r="E29" s="4"/>
      <c r="F29" s="4"/>
      <c r="G29" s="12"/>
      <c r="H29" s="12"/>
      <c r="I29" s="8">
        <f>IF(D29="","",D29-E29-F29)</f>
      </c>
      <c r="J29" s="8">
        <f>IF(OR(D29="",G29+H29=0),"",I29/(G29+H29))</f>
      </c>
    </row>
    <row r="30" spans="1:10" x14ac:dyDescent="0.25">
      <c r="A30" s="11"/>
      <c r="B30" s="11"/>
      <c r="C30" s="11"/>
      <c r="D30" s="4"/>
      <c r="E30" s="4"/>
      <c r="F30" s="4"/>
      <c r="G30" s="12"/>
      <c r="H30" s="12"/>
      <c r="I30" s="8">
        <f>IF(D30="","",D30-E30-F30)</f>
      </c>
      <c r="J30" s="8">
        <f>IF(OR(D30="",G30+H30=0),"",I30/(G30+H30))</f>
      </c>
    </row>
    <row r="31" spans="1:10" x14ac:dyDescent="0.25">
      <c r="A31" s="11"/>
      <c r="B31" s="11"/>
      <c r="C31" s="11"/>
      <c r="D31" s="4"/>
      <c r="E31" s="4"/>
      <c r="F31" s="4"/>
      <c r="G31" s="12"/>
      <c r="H31" s="12"/>
      <c r="I31" s="8">
        <f>IF(D31="","",D31-E31-F31)</f>
      </c>
      <c r="J31" s="8">
        <f>IF(OR(D31="",G31+H31=0),"",I31/(G31+H31))</f>
      </c>
    </row>
    <row r="32" spans="1:10" x14ac:dyDescent="0.25">
      <c r="A32" s="11"/>
      <c r="B32" s="11"/>
      <c r="C32" s="11"/>
      <c r="D32" s="4"/>
      <c r="E32" s="4"/>
      <c r="F32" s="4"/>
      <c r="G32" s="12"/>
      <c r="H32" s="12"/>
      <c r="I32" s="8">
        <f>IF(D32="","",D32-E32-F32)</f>
      </c>
      <c r="J32" s="8">
        <f>IF(OR(D32="",G32+H32=0),"",I32/(G32+H32))</f>
      </c>
    </row>
    <row r="33" spans="1:10" x14ac:dyDescent="0.25">
      <c r="A33" s="11"/>
      <c r="B33" s="11"/>
      <c r="C33" s="11"/>
      <c r="D33" s="4"/>
      <c r="E33" s="4"/>
      <c r="F33" s="4"/>
      <c r="G33" s="12"/>
      <c r="H33" s="12"/>
      <c r="I33" s="8">
        <f>IF(D33="","",D33-E33-F33)</f>
      </c>
      <c r="J33" s="8">
        <f>IF(OR(D33="",G33+H33=0),"",I33/(G33+H33))</f>
      </c>
    </row>
    <row r="34" spans="1:10" x14ac:dyDescent="0.25">
      <c r="A34" s="11"/>
      <c r="B34" s="11"/>
      <c r="C34" s="11"/>
      <c r="D34" s="4"/>
      <c r="E34" s="4"/>
      <c r="F34" s="4"/>
      <c r="G34" s="12"/>
      <c r="H34" s="12"/>
      <c r="I34" s="8">
        <f>IF(D34="","",D34-E34-F34)</f>
      </c>
      <c r="J34" s="8">
        <f>IF(OR(D34="",G34+H34=0),"",I34/(G34+H34))</f>
      </c>
    </row>
    <row r="35" spans="1:10" x14ac:dyDescent="0.25">
      <c r="A35" s="11"/>
      <c r="B35" s="11"/>
      <c r="C35" s="11"/>
      <c r="D35" s="4"/>
      <c r="E35" s="4"/>
      <c r="F35" s="4"/>
      <c r="G35" s="12"/>
      <c r="H35" s="12"/>
      <c r="I35" s="8">
        <f>IF(D35="","",D35-E35-F35)</f>
      </c>
      <c r="J35" s="8">
        <f>IF(OR(D35="",G35+H35=0),"",I35/(G35+H35))</f>
      </c>
    </row>
    <row r="36" spans="1:10" x14ac:dyDescent="0.25">
      <c r="A36" s="11"/>
      <c r="B36" s="11"/>
      <c r="C36" s="11"/>
      <c r="D36" s="4"/>
      <c r="E36" s="4"/>
      <c r="F36" s="4"/>
      <c r="G36" s="12"/>
      <c r="H36" s="12"/>
      <c r="I36" s="8">
        <f>IF(D36="","",D36-E36-F36)</f>
      </c>
      <c r="J36" s="8">
        <f>IF(OR(D36="",G36+H36=0),"",I36/(G36+H36))</f>
      </c>
    </row>
    <row r="37" spans="1:10" x14ac:dyDescent="0.25">
      <c r="A37" s="11"/>
      <c r="B37" s="11"/>
      <c r="C37" s="11"/>
      <c r="D37" s="4"/>
      <c r="E37" s="4"/>
      <c r="F37" s="4"/>
      <c r="G37" s="12"/>
      <c r="H37" s="12"/>
      <c r="I37" s="8">
        <f>IF(D37="","",D37-E37-F37)</f>
      </c>
      <c r="J37" s="8">
        <f>IF(OR(D37="",G37+H37=0),"",I37/(G37+H37))</f>
      </c>
    </row>
    <row r="38" spans="1:10" x14ac:dyDescent="0.25">
      <c r="A38" s="11"/>
      <c r="B38" s="11"/>
      <c r="C38" s="11"/>
      <c r="D38" s="4"/>
      <c r="E38" s="4"/>
      <c r="F38" s="4"/>
      <c r="G38" s="12"/>
      <c r="H38" s="12"/>
      <c r="I38" s="8">
        <f>IF(D38="","",D38-E38-F38)</f>
      </c>
      <c r="J38" s="8">
        <f>IF(OR(D38="",G38+H38=0),"",I38/(G38+H38))</f>
      </c>
    </row>
    <row r="39" spans="1:10" x14ac:dyDescent="0.25">
      <c r="A39" s="11"/>
      <c r="B39" s="11"/>
      <c r="C39" s="11"/>
      <c r="D39" s="4"/>
      <c r="E39" s="4"/>
      <c r="F39" s="4"/>
      <c r="G39" s="12"/>
      <c r="H39" s="12"/>
      <c r="I39" s="8">
        <f>IF(D39="","",D39-E39-F39)</f>
      </c>
      <c r="J39" s="8">
        <f>IF(OR(D39="",G39+H39=0),"",I39/(G39+H39))</f>
      </c>
    </row>
    <row r="40" spans="1:10" x14ac:dyDescent="0.25">
      <c r="A40" s="11"/>
      <c r="B40" s="11"/>
      <c r="C40" s="11"/>
      <c r="D40" s="4"/>
      <c r="E40" s="4"/>
      <c r="F40" s="4"/>
      <c r="G40" s="12"/>
      <c r="H40" s="12"/>
      <c r="I40" s="8">
        <f>IF(D40="","",D40-E40-F40)</f>
      </c>
      <c r="J40" s="8">
        <f>IF(OR(D40="",G40+H40=0),"",I40/(G40+H40))</f>
      </c>
    </row>
    <row r="41" spans="1:10" x14ac:dyDescent="0.25">
      <c r="A41" s="11"/>
      <c r="B41" s="11"/>
      <c r="C41" s="11"/>
      <c r="D41" s="4"/>
      <c r="E41" s="4"/>
      <c r="F41" s="4"/>
      <c r="G41" s="12"/>
      <c r="H41" s="12"/>
      <c r="I41" s="8">
        <f>IF(D41="","",D41-E41-F41)</f>
      </c>
      <c r="J41" s="8">
        <f>IF(OR(D41="",G41+H41=0),"",I41/(G41+H41))</f>
      </c>
    </row>
    <row r="42" spans="1:10" x14ac:dyDescent="0.25">
      <c r="A42" s="11"/>
      <c r="B42" s="11"/>
      <c r="C42" s="11"/>
      <c r="D42" s="4"/>
      <c r="E42" s="4"/>
      <c r="F42" s="4"/>
      <c r="G42" s="12"/>
      <c r="H42" s="12"/>
      <c r="I42" s="8">
        <f>IF(D42="","",D42-E42-F42)</f>
      </c>
      <c r="J42" s="8">
        <f>IF(OR(D42="",G42+H42=0),"",I42/(G42+H42))</f>
      </c>
    </row>
    <row r="43" spans="1:10" x14ac:dyDescent="0.25">
      <c r="A43" s="11"/>
      <c r="B43" s="11"/>
      <c r="C43" s="11"/>
      <c r="D43" s="4"/>
      <c r="E43" s="4"/>
      <c r="F43" s="4"/>
      <c r="G43" s="12"/>
      <c r="H43" s="12"/>
      <c r="I43" s="8">
        <f>IF(D43="","",D43-E43-F43)</f>
      </c>
      <c r="J43" s="8">
        <f>IF(OR(D43="",G43+H43=0),"",I43/(G43+H43))</f>
      </c>
    </row>
    <row r="44" spans="1:10" x14ac:dyDescent="0.25">
      <c r="A44" s="11"/>
      <c r="B44" s="11"/>
      <c r="C44" s="11"/>
      <c r="D44" s="4"/>
      <c r="E44" s="4"/>
      <c r="F44" s="4"/>
      <c r="G44" s="12"/>
      <c r="H44" s="12"/>
      <c r="I44" s="8">
        <f>IF(D44="","",D44-E44-F44)</f>
      </c>
      <c r="J44" s="8">
        <f>IF(OR(D44="",G44+H44=0),"",I44/(G44+H44))</f>
      </c>
    </row>
    <row r="45" spans="1:10" x14ac:dyDescent="0.25">
      <c r="A45" s="11"/>
      <c r="B45" s="11"/>
      <c r="C45" s="11"/>
      <c r="D45" s="4"/>
      <c r="E45" s="4"/>
      <c r="F45" s="4"/>
      <c r="G45" s="12"/>
      <c r="H45" s="12"/>
      <c r="I45" s="8">
        <f>IF(D45="","",D45-E45-F45)</f>
      </c>
      <c r="J45" s="8">
        <f>IF(OR(D45="",G45+H45=0),"",I45/(G45+H45))</f>
      </c>
    </row>
    <row r="46" spans="1:10" x14ac:dyDescent="0.25">
      <c r="A46" s="11"/>
      <c r="B46" s="11"/>
      <c r="C46" s="11"/>
      <c r="D46" s="4"/>
      <c r="E46" s="4"/>
      <c r="F46" s="4"/>
      <c r="G46" s="12"/>
      <c r="H46" s="12"/>
      <c r="I46" s="8">
        <f>IF(D46="","",D46-E46-F46)</f>
      </c>
      <c r="J46" s="8">
        <f>IF(OR(D46="",G46+H46=0),"",I46/(G46+H46))</f>
      </c>
    </row>
    <row r="47" spans="1:10" x14ac:dyDescent="0.25">
      <c r="A47" s="11"/>
      <c r="B47" s="11"/>
      <c r="C47" s="11"/>
      <c r="D47" s="4"/>
      <c r="E47" s="4"/>
      <c r="F47" s="4"/>
      <c r="G47" s="12"/>
      <c r="H47" s="12"/>
      <c r="I47" s="8">
        <f>IF(D47="","",D47-E47-F47)</f>
      </c>
      <c r="J47" s="8">
        <f>IF(OR(D47="",G47+H47=0),"",I47/(G47+H47))</f>
      </c>
    </row>
    <row r="48" spans="1:10" x14ac:dyDescent="0.25">
      <c r="A48" s="11"/>
      <c r="B48" s="11"/>
      <c r="C48" s="11"/>
      <c r="D48" s="4"/>
      <c r="E48" s="4"/>
      <c r="F48" s="4"/>
      <c r="G48" s="12"/>
      <c r="H48" s="12"/>
      <c r="I48" s="8">
        <f>IF(D48="","",D48-E48-F48)</f>
      </c>
      <c r="J48" s="8">
        <f>IF(OR(D48="",G48+H48=0),"",I48/(G48+H48))</f>
      </c>
    </row>
    <row r="49" spans="1:10" x14ac:dyDescent="0.25">
      <c r="A49" s="11"/>
      <c r="B49" s="11"/>
      <c r="C49" s="11"/>
      <c r="D49" s="4"/>
      <c r="E49" s="4"/>
      <c r="F49" s="4"/>
      <c r="G49" s="12"/>
      <c r="H49" s="12"/>
      <c r="I49" s="8">
        <f>IF(D49="","",D49-E49-F49)</f>
      </c>
      <c r="J49" s="8">
        <f>IF(OR(D49="",G49+H49=0),"",I49/(G49+H49))</f>
      </c>
    </row>
    <row r="50" spans="1:10" x14ac:dyDescent="0.25">
      <c r="A50" s="11"/>
      <c r="B50" s="11"/>
      <c r="C50" s="11"/>
      <c r="D50" s="4"/>
      <c r="E50" s="4"/>
      <c r="F50" s="4"/>
      <c r="G50" s="12"/>
      <c r="H50" s="12"/>
      <c r="I50" s="8">
        <f>IF(D50="","",D50-E50-F50)</f>
      </c>
      <c r="J50" s="8">
        <f>IF(OR(D50="",G50+H50=0),"",I50/(G50+H50))</f>
      </c>
    </row>
    <row r="51" spans="1:10" x14ac:dyDescent="0.25">
      <c r="A51" s="11"/>
      <c r="B51" s="11"/>
      <c r="C51" s="11"/>
      <c r="D51" s="4"/>
      <c r="E51" s="4"/>
      <c r="F51" s="4"/>
      <c r="G51" s="12"/>
      <c r="H51" s="12"/>
      <c r="I51" s="8">
        <f>IF(D51="","",D51-E51-F51)</f>
      </c>
      <c r="J51" s="8">
        <f>IF(OR(D51="",G51+H51=0),"",I51/(G51+H51))</f>
      </c>
    </row>
    <row r="52" spans="1:10" x14ac:dyDescent="0.25">
      <c r="A52" s="11"/>
      <c r="B52" s="11"/>
      <c r="C52" s="11"/>
      <c r="D52" s="4"/>
      <c r="E52" s="4"/>
      <c r="F52" s="4"/>
      <c r="G52" s="12"/>
      <c r="H52" s="12"/>
      <c r="I52" s="8">
        <f>IF(D52="","",D52-E52-F52)</f>
      </c>
      <c r="J52" s="8">
        <f>IF(OR(D52="",G52+H52=0),"",I52/(G52+H52))</f>
      </c>
    </row>
    <row r="53" spans="1:10" x14ac:dyDescent="0.25">
      <c r="A53" s="11"/>
      <c r="B53" s="11"/>
      <c r="C53" s="11"/>
      <c r="D53" s="4"/>
      <c r="E53" s="4"/>
      <c r="F53" s="4"/>
      <c r="G53" s="12"/>
      <c r="H53" s="12"/>
      <c r="I53" s="8">
        <f>IF(D53="","",D53-E53-F53)</f>
      </c>
      <c r="J53" s="8">
        <f>IF(OR(D53="",G53+H53=0),"",I53/(G53+H53))</f>
      </c>
    </row>
    <row r="54" spans="1:10" x14ac:dyDescent="0.25">
      <c r="A54" s="11"/>
      <c r="B54" s="11"/>
      <c r="C54" s="11"/>
      <c r="D54" s="4"/>
      <c r="E54" s="4"/>
      <c r="F54" s="4"/>
      <c r="G54" s="12"/>
      <c r="H54" s="12"/>
      <c r="I54" s="8">
        <f>IF(D54="","",D54-E54-F54)</f>
      </c>
      <c r="J54" s="8">
        <f>IF(OR(D54="",G54+H54=0),"",I54/(G54+H54))</f>
      </c>
    </row>
    <row r="55" spans="1:10" x14ac:dyDescent="0.25">
      <c r="A55" s="11"/>
      <c r="B55" s="11"/>
      <c r="C55" s="11"/>
      <c r="D55" s="4"/>
      <c r="E55" s="4"/>
      <c r="F55" s="4"/>
      <c r="G55" s="12"/>
      <c r="H55" s="12"/>
      <c r="I55" s="8">
        <f>IF(D55="","",D55-E55-F55)</f>
      </c>
      <c r="J55" s="8">
        <f>IF(OR(D55="",G55+H55=0),"",I55/(G55+H55))</f>
      </c>
    </row>
    <row r="56" spans="1:10" x14ac:dyDescent="0.25">
      <c r="A56" s="11"/>
      <c r="B56" s="11"/>
      <c r="C56" s="11"/>
      <c r="D56" s="4"/>
      <c r="E56" s="4"/>
      <c r="F56" s="4"/>
      <c r="G56" s="12"/>
      <c r="H56" s="12"/>
      <c r="I56" s="8">
        <f>IF(D56="","",D56-E56-F56)</f>
      </c>
      <c r="J56" s="8">
        <f>IF(OR(D56="",G56+H56=0),"",I56/(G56+H56))</f>
      </c>
    </row>
    <row r="57" spans="1:10" x14ac:dyDescent="0.25">
      <c r="A57" s="11"/>
      <c r="B57" s="11"/>
      <c r="C57" s="11"/>
      <c r="D57" s="4"/>
      <c r="E57" s="4"/>
      <c r="F57" s="4"/>
      <c r="G57" s="12"/>
      <c r="H57" s="12"/>
      <c r="I57" s="8">
        <f>IF(D57="","",D57-E57-F57)</f>
      </c>
      <c r="J57" s="8">
        <f>IF(OR(D57="",G57+H57=0),"",I57/(G57+H57))</f>
      </c>
    </row>
    <row r="58" spans="1:10" x14ac:dyDescent="0.25">
      <c r="A58" s="11"/>
      <c r="B58" s="11"/>
      <c r="C58" s="11"/>
      <c r="D58" s="4"/>
      <c r="E58" s="4"/>
      <c r="F58" s="4"/>
      <c r="G58" s="12"/>
      <c r="H58" s="12"/>
      <c r="I58" s="8">
        <f>IF(D58="","",D58-E58-F58)</f>
      </c>
      <c r="J58" s="8">
        <f>IF(OR(D58="",G58+H58=0),"",I58/(G58+H58))</f>
      </c>
    </row>
    <row r="59" spans="1:10" x14ac:dyDescent="0.25">
      <c r="A59" s="11"/>
      <c r="B59" s="11"/>
      <c r="C59" s="11"/>
      <c r="D59" s="4"/>
      <c r="E59" s="4"/>
      <c r="F59" s="4"/>
      <c r="G59" s="12"/>
      <c r="H59" s="12"/>
      <c r="I59" s="8">
        <f>IF(D59="","",D59-E59-F59)</f>
      </c>
      <c r="J59" s="8">
        <f>IF(OR(D59="",G59+H59=0),"",I59/(G59+H59))</f>
      </c>
    </row>
    <row r="60" spans="1:10" x14ac:dyDescent="0.25">
      <c r="A60" s="11"/>
      <c r="B60" s="11"/>
      <c r="C60" s="11"/>
      <c r="D60" s="4"/>
      <c r="E60" s="4"/>
      <c r="F60" s="4"/>
      <c r="G60" s="12"/>
      <c r="H60" s="12"/>
      <c r="I60" s="8">
        <f>IF(D60="","",D60-E60-F60)</f>
      </c>
      <c r="J60" s="8">
        <f>IF(OR(D60="",G60+H60=0),"",I60/(G60+H60))</f>
      </c>
    </row>
    <row r="61" spans="1:10" x14ac:dyDescent="0.25">
      <c r="A61" s="11"/>
      <c r="B61" s="11"/>
      <c r="C61" s="11"/>
      <c r="D61" s="4"/>
      <c r="E61" s="4"/>
      <c r="F61" s="4"/>
      <c r="G61" s="12"/>
      <c r="H61" s="12"/>
      <c r="I61" s="8">
        <f>IF(D61="","",D61-E61-F61)</f>
      </c>
      <c r="J61" s="8">
        <f>IF(OR(D61="",G61+H61=0),"",I61/(G61+H61))</f>
      </c>
    </row>
    <row r="62" spans="1:10" x14ac:dyDescent="0.25">
      <c r="A62" s="11"/>
      <c r="B62" s="11"/>
      <c r="C62" s="11"/>
      <c r="D62" s="4"/>
      <c r="E62" s="4"/>
      <c r="F62" s="4"/>
      <c r="G62" s="12"/>
      <c r="H62" s="12"/>
      <c r="I62" s="8">
        <f>IF(D62="","",D62-E62-F62)</f>
      </c>
      <c r="J62" s="8">
        <f>IF(OR(D62="",G62+H62=0),"",I62/(G62+H62))</f>
      </c>
    </row>
    <row r="63" spans="1:10" x14ac:dyDescent="0.25">
      <c r="A63" s="11"/>
      <c r="B63" s="11"/>
      <c r="C63" s="11"/>
      <c r="D63" s="4"/>
      <c r="E63" s="4"/>
      <c r="F63" s="4"/>
      <c r="G63" s="12"/>
      <c r="H63" s="12"/>
      <c r="I63" s="8">
        <f>IF(D63="","",D63-E63-F63)</f>
      </c>
      <c r="J63" s="8">
        <f>IF(OR(D63="",G63+H63=0),"",I63/(G63+H63))</f>
      </c>
    </row>
    <row r="64" spans="1:10" x14ac:dyDescent="0.25">
      <c r="A64" s="11"/>
      <c r="B64" s="11"/>
      <c r="C64" s="11"/>
      <c r="D64" s="4"/>
      <c r="E64" s="4"/>
      <c r="F64" s="4"/>
      <c r="G64" s="12"/>
      <c r="H64" s="12"/>
      <c r="I64" s="8">
        <f>IF(D64="","",D64-E64-F64)</f>
      </c>
      <c r="J64" s="8">
        <f>IF(OR(D64="",G64+H64=0),"",I64/(G64+H64))</f>
      </c>
    </row>
    <row r="65" spans="1:10" x14ac:dyDescent="0.25">
      <c r="A65" s="11"/>
      <c r="B65" s="11"/>
      <c r="C65" s="11"/>
      <c r="D65" s="4"/>
      <c r="E65" s="4"/>
      <c r="F65" s="4"/>
      <c r="G65" s="12"/>
      <c r="H65" s="12"/>
      <c r="I65" s="8">
        <f>IF(D65="","",D65-E65-F65)</f>
      </c>
      <c r="J65" s="8">
        <f>IF(OR(D65="",G65+H65=0),"",I65/(G65+H65))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FormatPr defaultRowHeight="15" outlineLevelRow="0" outlineLevelCol="0" x14ac:dyDescent="55"/>
  <cols>
    <col min="1" max="1" width="12" customWidth="1"/>
    <col min="2" max="2" width="30" customWidth="1"/>
    <col min="3" max="3" width="22" customWidth="1"/>
    <col min="4" max="4" width="14" customWidth="1"/>
  </cols>
  <sheetData>
    <row r="1" spans="1:1" x14ac:dyDescent="0.25">
      <c r="A1" s="1" t="s">
        <v>49</v>
      </c>
    </row>
    <row r="2" spans="1:1" x14ac:dyDescent="0.25">
      <c r="A2" s="2" t="s">
        <v>50</v>
      </c>
    </row>
    <row r="3" spans="1:1" x14ac:dyDescent="0.25">
      <c r="A3" s="2" t="s">
        <v>2</v>
      </c>
    </row>
    <row r="5" spans="1:4" x14ac:dyDescent="0.25">
      <c r="A5" s="10" t="s">
        <v>34</v>
      </c>
      <c r="B5" s="10" t="s">
        <v>51</v>
      </c>
      <c r="C5" s="10" t="s">
        <v>52</v>
      </c>
      <c r="D5" s="10" t="s">
        <v>21</v>
      </c>
    </row>
    <row r="6" spans="1:4" x14ac:dyDescent="0.25">
      <c r="A6" s="11" t="s">
        <v>44</v>
      </c>
      <c r="B6" s="11" t="s">
        <v>53</v>
      </c>
      <c r="C6" s="11" t="s">
        <v>22</v>
      </c>
      <c r="D6" s="4">
        <v>60</v>
      </c>
    </row>
    <row r="7" spans="1:4" x14ac:dyDescent="0.25">
      <c r="A7" s="11" t="s">
        <v>47</v>
      </c>
      <c r="B7" s="11" t="s">
        <v>54</v>
      </c>
      <c r="C7" s="11" t="s">
        <v>25</v>
      </c>
      <c r="D7" s="4">
        <v>45</v>
      </c>
    </row>
    <row r="8" spans="1:4" x14ac:dyDescent="0.25">
      <c r="A8" s="11"/>
      <c r="B8" s="11"/>
      <c r="C8" s="11"/>
      <c r="D8" s="4"/>
    </row>
    <row r="9" spans="1:4" x14ac:dyDescent="0.25">
      <c r="A9" s="11"/>
      <c r="B9" s="11"/>
      <c r="C9" s="11"/>
      <c r="D9" s="4"/>
    </row>
    <row r="10" spans="1:4" x14ac:dyDescent="0.25">
      <c r="A10" s="11"/>
      <c r="B10" s="11"/>
      <c r="C10" s="11"/>
      <c r="D10" s="4"/>
    </row>
    <row r="11" spans="1:4" x14ac:dyDescent="0.25">
      <c r="A11" s="11"/>
      <c r="B11" s="11"/>
      <c r="C11" s="11"/>
      <c r="D11" s="4"/>
    </row>
    <row r="12" spans="1:4" x14ac:dyDescent="0.25">
      <c r="A12" s="11"/>
      <c r="B12" s="11"/>
      <c r="C12" s="11"/>
      <c r="D12" s="4"/>
    </row>
    <row r="13" spans="1:4" x14ac:dyDescent="0.25">
      <c r="A13" s="11"/>
      <c r="B13" s="11"/>
      <c r="C13" s="11"/>
      <c r="D13" s="4"/>
    </row>
    <row r="14" spans="1:4" x14ac:dyDescent="0.25">
      <c r="A14" s="11"/>
      <c r="B14" s="11"/>
      <c r="C14" s="11"/>
      <c r="D14" s="4"/>
    </row>
    <row r="15" spans="1:4" x14ac:dyDescent="0.25">
      <c r="A15" s="11"/>
      <c r="B15" s="11"/>
      <c r="C15" s="11"/>
      <c r="D15" s="4"/>
    </row>
    <row r="16" spans="1:4" x14ac:dyDescent="0.25">
      <c r="A16" s="11"/>
      <c r="B16" s="11"/>
      <c r="C16" s="11"/>
      <c r="D16" s="4"/>
    </row>
    <row r="17" spans="1:4" x14ac:dyDescent="0.25">
      <c r="A17" s="11"/>
      <c r="B17" s="11"/>
      <c r="C17" s="11"/>
      <c r="D17" s="4"/>
    </row>
    <row r="18" spans="1:4" x14ac:dyDescent="0.25">
      <c r="A18" s="11"/>
      <c r="B18" s="11"/>
      <c r="C18" s="11"/>
      <c r="D18" s="4"/>
    </row>
    <row r="19" spans="1:4" x14ac:dyDescent="0.25">
      <c r="A19" s="11"/>
      <c r="B19" s="11"/>
      <c r="C19" s="11"/>
      <c r="D19" s="4"/>
    </row>
    <row r="20" spans="1:4" x14ac:dyDescent="0.25">
      <c r="A20" s="11"/>
      <c r="B20" s="11"/>
      <c r="C20" s="11"/>
      <c r="D20" s="4"/>
    </row>
    <row r="21" spans="1:4" x14ac:dyDescent="0.25">
      <c r="A21" s="11"/>
      <c r="B21" s="11"/>
      <c r="C21" s="11"/>
      <c r="D21" s="4"/>
    </row>
    <row r="22" spans="1:4" x14ac:dyDescent="0.25">
      <c r="A22" s="11"/>
      <c r="B22" s="11"/>
      <c r="C22" s="11"/>
      <c r="D22" s="4"/>
    </row>
    <row r="23" spans="1:4" x14ac:dyDescent="0.25">
      <c r="A23" s="11"/>
      <c r="B23" s="11"/>
      <c r="C23" s="11"/>
      <c r="D23" s="4"/>
    </row>
    <row r="24" spans="1:4" x14ac:dyDescent="0.25">
      <c r="A24" s="11"/>
      <c r="B24" s="11"/>
      <c r="C24" s="11"/>
      <c r="D24" s="4"/>
    </row>
    <row r="25" spans="1:4" x14ac:dyDescent="0.25">
      <c r="A25" s="11"/>
      <c r="B25" s="11"/>
      <c r="C25" s="11"/>
      <c r="D25" s="4"/>
    </row>
    <row r="26" spans="1:4" x14ac:dyDescent="0.25">
      <c r="A26" s="11"/>
      <c r="B26" s="11"/>
      <c r="C26" s="11"/>
      <c r="D26" s="4"/>
    </row>
    <row r="27" spans="1:4" x14ac:dyDescent="0.25">
      <c r="A27" s="11"/>
      <c r="B27" s="11"/>
      <c r="C27" s="11"/>
      <c r="D27" s="4"/>
    </row>
    <row r="28" spans="1:4" x14ac:dyDescent="0.25">
      <c r="A28" s="11"/>
      <c r="B28" s="11"/>
      <c r="C28" s="11"/>
      <c r="D28" s="4"/>
    </row>
    <row r="29" spans="1:4" x14ac:dyDescent="0.25">
      <c r="A29" s="11"/>
      <c r="B29" s="11"/>
      <c r="C29" s="11"/>
      <c r="D29" s="4"/>
    </row>
    <row r="30" spans="1:4" x14ac:dyDescent="0.25">
      <c r="A30" s="11"/>
      <c r="B30" s="11"/>
      <c r="C30" s="11"/>
      <c r="D30" s="4"/>
    </row>
    <row r="31" spans="1:4" x14ac:dyDescent="0.25">
      <c r="A31" s="11"/>
      <c r="B31" s="11"/>
      <c r="C31" s="11"/>
      <c r="D31" s="4"/>
    </row>
    <row r="32" spans="1:4" x14ac:dyDescent="0.25">
      <c r="A32" s="11"/>
      <c r="B32" s="11"/>
      <c r="C32" s="11"/>
      <c r="D32" s="4"/>
    </row>
    <row r="33" spans="1:4" x14ac:dyDescent="0.25">
      <c r="A33" s="11"/>
      <c r="B33" s="11"/>
      <c r="C33" s="11"/>
      <c r="D33" s="4"/>
    </row>
    <row r="34" spans="1:4" x14ac:dyDescent="0.25">
      <c r="A34" s="11"/>
      <c r="B34" s="11"/>
      <c r="C34" s="11"/>
      <c r="D34" s="4"/>
    </row>
    <row r="35" spans="1:4" x14ac:dyDescent="0.25">
      <c r="A35" s="11"/>
      <c r="B35" s="11"/>
      <c r="C35" s="11"/>
      <c r="D35" s="4"/>
    </row>
    <row r="36" spans="1:4" x14ac:dyDescent="0.25">
      <c r="A36" s="11"/>
      <c r="B36" s="11"/>
      <c r="C36" s="11"/>
      <c r="D36" s="4"/>
    </row>
    <row r="37" spans="1:4" x14ac:dyDescent="0.25">
      <c r="A37" s="11"/>
      <c r="B37" s="11"/>
      <c r="C37" s="11"/>
      <c r="D37" s="4"/>
    </row>
    <row r="38" spans="1:4" x14ac:dyDescent="0.25">
      <c r="A38" s="11"/>
      <c r="B38" s="11"/>
      <c r="C38" s="11"/>
      <c r="D38" s="4"/>
    </row>
    <row r="39" spans="1:4" x14ac:dyDescent="0.25">
      <c r="A39" s="11"/>
      <c r="B39" s="11"/>
      <c r="C39" s="11"/>
      <c r="D39" s="4"/>
    </row>
    <row r="40" spans="1:4" x14ac:dyDescent="0.25">
      <c r="A40" s="11"/>
      <c r="B40" s="11"/>
      <c r="C40" s="11"/>
      <c r="D40" s="4"/>
    </row>
    <row r="41" spans="1:4" x14ac:dyDescent="0.25">
      <c r="A41" s="11"/>
      <c r="B41" s="11"/>
      <c r="C41" s="11"/>
      <c r="D41" s="4"/>
    </row>
    <row r="42" spans="1:4" x14ac:dyDescent="0.25">
      <c r="A42" s="11"/>
      <c r="B42" s="11"/>
      <c r="C42" s="11"/>
      <c r="D42" s="4"/>
    </row>
    <row r="43" spans="1:4" x14ac:dyDescent="0.25">
      <c r="A43" s="11"/>
      <c r="B43" s="11"/>
      <c r="C43" s="11"/>
      <c r="D43" s="4"/>
    </row>
    <row r="44" spans="1:4" x14ac:dyDescent="0.25">
      <c r="A44" s="11"/>
      <c r="B44" s="11"/>
      <c r="C44" s="11"/>
      <c r="D44" s="4"/>
    </row>
    <row r="45" spans="1:4" x14ac:dyDescent="0.25">
      <c r="A45" s="11"/>
      <c r="B45" s="11"/>
      <c r="C45" s="11"/>
      <c r="D45" s="4"/>
    </row>
    <row r="46" spans="1:4" x14ac:dyDescent="0.25">
      <c r="A46" s="11"/>
      <c r="B46" s="11"/>
      <c r="C46" s="11"/>
      <c r="D46" s="4"/>
    </row>
    <row r="47" spans="1:4" x14ac:dyDescent="0.25">
      <c r="A47" s="11"/>
      <c r="B47" s="11"/>
      <c r="C47" s="11"/>
      <c r="D47" s="4"/>
    </row>
    <row r="48" spans="1:4" x14ac:dyDescent="0.25">
      <c r="A48" s="11"/>
      <c r="B48" s="11"/>
      <c r="C48" s="11"/>
      <c r="D48" s="4"/>
    </row>
    <row r="49" spans="1:4" x14ac:dyDescent="0.25">
      <c r="A49" s="11"/>
      <c r="B49" s="11"/>
      <c r="C49" s="11"/>
      <c r="D49" s="4"/>
    </row>
    <row r="50" spans="1:4" x14ac:dyDescent="0.25">
      <c r="A50" s="11"/>
      <c r="B50" s="11"/>
      <c r="C50" s="11"/>
      <c r="D50" s="4"/>
    </row>
    <row r="51" spans="1:4" x14ac:dyDescent="0.25">
      <c r="A51" s="11"/>
      <c r="B51" s="11"/>
      <c r="C51" s="11"/>
      <c r="D51" s="4"/>
    </row>
    <row r="52" spans="1:4" x14ac:dyDescent="0.25">
      <c r="A52" s="11"/>
      <c r="B52" s="11"/>
      <c r="C52" s="11"/>
      <c r="D52" s="4"/>
    </row>
    <row r="53" spans="1:4" x14ac:dyDescent="0.25">
      <c r="A53" s="11"/>
      <c r="B53" s="11"/>
      <c r="C53" s="11"/>
      <c r="D53" s="4"/>
    </row>
    <row r="54" spans="1:4" x14ac:dyDescent="0.25">
      <c r="A54" s="11"/>
      <c r="B54" s="11"/>
      <c r="C54" s="11"/>
      <c r="D54" s="4"/>
    </row>
    <row r="55" spans="1:4" x14ac:dyDescent="0.25">
      <c r="A55" s="11"/>
      <c r="B55" s="11"/>
      <c r="C55" s="11"/>
      <c r="D55" s="4"/>
    </row>
    <row r="56" spans="1:4" x14ac:dyDescent="0.25">
      <c r="A56" s="11"/>
      <c r="B56" s="11"/>
      <c r="C56" s="11"/>
      <c r="D56" s="4"/>
    </row>
    <row r="57" spans="1:4" x14ac:dyDescent="0.25">
      <c r="A57" s="11"/>
      <c r="B57" s="11"/>
      <c r="C57" s="11"/>
      <c r="D57" s="4"/>
    </row>
    <row r="58" spans="1:4" x14ac:dyDescent="0.25">
      <c r="A58" s="11"/>
      <c r="B58" s="11"/>
      <c r="C58" s="11"/>
      <c r="D58" s="4"/>
    </row>
    <row r="59" spans="1:4" x14ac:dyDescent="0.25">
      <c r="A59" s="11"/>
      <c r="B59" s="11"/>
      <c r="C59" s="11"/>
      <c r="D59" s="4"/>
    </row>
    <row r="60" spans="1:4" x14ac:dyDescent="0.25">
      <c r="A60" s="11"/>
      <c r="B60" s="11"/>
      <c r="C60" s="11"/>
      <c r="D60" s="4"/>
    </row>
    <row r="61" spans="1:4" x14ac:dyDescent="0.25">
      <c r="A61" s="11"/>
      <c r="B61" s="11"/>
      <c r="C61" s="11"/>
      <c r="D61" s="4"/>
    </row>
    <row r="62" spans="1:4" x14ac:dyDescent="0.25">
      <c r="A62" s="11"/>
      <c r="B62" s="11"/>
      <c r="C62" s="11"/>
      <c r="D62" s="4"/>
    </row>
    <row r="63" spans="1:4" x14ac:dyDescent="0.25">
      <c r="A63" s="11"/>
      <c r="B63" s="11"/>
      <c r="C63" s="11"/>
      <c r="D63" s="4"/>
    </row>
    <row r="64" spans="1:4" x14ac:dyDescent="0.25">
      <c r="A64" s="11"/>
      <c r="B64" s="11"/>
      <c r="C64" s="11"/>
      <c r="D64" s="4"/>
    </row>
    <row r="65" spans="1:4" x14ac:dyDescent="0.25">
      <c r="A65" s="11"/>
      <c r="B65" s="11"/>
      <c r="C65" s="11"/>
      <c r="D65" s="4"/>
    </row>
  </sheetData>
  <dataValidations count="2">
    <dataValidation type="list" allowBlank="1" sqref="C10:C65">
      <formula1>"Fuel,Vehicle,Insurance,Supplies,Equipment,Software/phone,Marketing,Fees,Helper pay,Other"</formula1>
    </dataValidation>
    <dataValidation type="list" allowBlank="1" sqref="C6:C65">
      <formula1>"Fuel,Vehicle,Insurance,Supplies,Equipment,Software/phone,Marketing,Fees,Helper pay,Other"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FormatPr defaultRowHeight="15" outlineLevelRow="0" outlineLevelCol="0" x14ac:dyDescent="55"/>
  <cols>
    <col min="1" max="1" width="52" customWidth="1"/>
    <col min="2" max="2" width="18" customWidth="1"/>
    <col min="3" max="3" width="44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5" spans="1:2" x14ac:dyDescent="0.25">
      <c r="A5" t="s">
        <v>3</v>
      </c>
      <c r="B5" s="3">
        <v>0.25</v>
      </c>
    </row>
    <row r="6" spans="1:2" x14ac:dyDescent="0.25">
      <c r="A6" t="s">
        <v>4</v>
      </c>
      <c r="B6" s="4">
        <v>75</v>
      </c>
    </row>
    <row r="8" spans="1:2" x14ac:dyDescent="0.25">
      <c r="A8" s="5" t="s">
        <v>5</v>
      </c>
      <c r="B8" s="6">
        <f>SUM('Job Log'!D6:D65)</f>
      </c>
    </row>
    <row r="9" spans="1:2" x14ac:dyDescent="0.25">
      <c r="A9" t="s">
        <v>6</v>
      </c>
      <c r="B9" s="7">
        <f>COUNT('Job Log'!D6:D65)</f>
      </c>
    </row>
    <row r="10" spans="1:2" x14ac:dyDescent="0.25">
      <c r="A10" t="s">
        <v>7</v>
      </c>
      <c r="B10" s="8">
        <f>IF(B9&gt;0,B8/B9,0)</f>
      </c>
    </row>
    <row r="12" spans="1:2" x14ac:dyDescent="0.25">
      <c r="A12" t="s">
        <v>8</v>
      </c>
      <c r="B12" s="8">
        <f>SUM('Job Log'!E6:F65)</f>
      </c>
    </row>
    <row r="13" spans="1:2" x14ac:dyDescent="0.25">
      <c r="A13" t="s">
        <v>9</v>
      </c>
      <c r="B13" s="8">
        <f>SUM(Expenses!D6:D65)</f>
      </c>
    </row>
    <row r="14" spans="1:2" x14ac:dyDescent="0.25">
      <c r="A14" s="5" t="s">
        <v>10</v>
      </c>
      <c r="B14" s="6">
        <f>B12+B13</f>
      </c>
    </row>
    <row r="16" spans="1:2" x14ac:dyDescent="0.25">
      <c r="A16" t="s">
        <v>11</v>
      </c>
      <c r="B16" s="6">
        <f>B8-B14</f>
      </c>
    </row>
    <row r="17" spans="1:2" x14ac:dyDescent="0.25">
      <c r="A17" t="s">
        <v>12</v>
      </c>
      <c r="B17" s="8">
        <f>MAX(0,B16*B5)</f>
      </c>
    </row>
    <row r="18" spans="1:2" x14ac:dyDescent="0.25">
      <c r="A18" s="5" t="s">
        <v>13</v>
      </c>
      <c r="B18" s="6">
        <f>B16-B17</f>
      </c>
    </row>
    <row r="20" spans="1:2" x14ac:dyDescent="0.25">
      <c r="A20" t="s">
        <v>14</v>
      </c>
      <c r="B20" s="9">
        <f>SUM('Job Log'!G6:H65)</f>
      </c>
    </row>
    <row r="21" spans="1:2" x14ac:dyDescent="0.25">
      <c r="A21" t="s">
        <v>15</v>
      </c>
      <c r="B21" s="6">
        <f>IF(B20&gt;0,SUM('Job Log'!I6:I65)/B20,0)</f>
      </c>
    </row>
    <row r="22" spans="1:3" x14ac:dyDescent="0.25">
      <c r="A22" t="s">
        <v>16</v>
      </c>
      <c r="B22" s="7">
        <f>COUNTIF('Job Log'!J6:J65,"&lt;"&amp;B6)</f>
      </c>
      <c r="C22" t="s">
        <v>17</v>
      </c>
    </row>
    <row r="23" spans="1:2" x14ac:dyDescent="0.25">
      <c r="A23" t="s">
        <v>18</v>
      </c>
      <c r="B23" s="8">
        <f>IF(B9&gt;0,MAX('Job Log'!J6:J65),0)</f>
      </c>
    </row>
    <row r="24" spans="1:2" x14ac:dyDescent="0.25">
      <c r="A24" t="s">
        <v>19</v>
      </c>
      <c r="B24" s="8">
        <f>IF(B9&gt;0,MIN('Job Log'!J6:J65),0)</f>
      </c>
    </row>
    <row r="26" spans="1:2" x14ac:dyDescent="0.25">
      <c r="A26" s="10" t="s">
        <v>20</v>
      </c>
      <c r="B26" s="10" t="s">
        <v>21</v>
      </c>
    </row>
    <row r="27" spans="1:2" x14ac:dyDescent="0.25">
      <c r="A27" t="s">
        <v>22</v>
      </c>
      <c r="B27" s="8">
        <f>SUMIF(Expenses!$C$6:$C$65,A27,Expenses!$D$6:$D$65)</f>
      </c>
    </row>
    <row r="28" spans="1:2" x14ac:dyDescent="0.25">
      <c r="A28" t="s">
        <v>23</v>
      </c>
      <c r="B28" s="8">
        <f>SUMIF(Expenses!$C$6:$C$65,A28,Expenses!$D$6:$D$65)</f>
      </c>
    </row>
    <row r="29" spans="1:2" x14ac:dyDescent="0.25">
      <c r="A29" t="s">
        <v>24</v>
      </c>
      <c r="B29" s="8">
        <f>SUMIF(Expenses!$C$6:$C$65,A29,Expenses!$D$6:$D$65)</f>
      </c>
    </row>
    <row r="30" spans="1:2" x14ac:dyDescent="0.25">
      <c r="A30" t="s">
        <v>25</v>
      </c>
      <c r="B30" s="8">
        <f>SUMIF(Expenses!$C$6:$C$65,A30,Expenses!$D$6:$D$65)</f>
      </c>
    </row>
    <row r="31" spans="1:2" x14ac:dyDescent="0.25">
      <c r="A31" t="s">
        <v>26</v>
      </c>
      <c r="B31" s="8">
        <f>SUMIF(Expenses!$C$6:$C$65,A31,Expenses!$D$6:$D$65)</f>
      </c>
    </row>
    <row r="32" spans="1:2" x14ac:dyDescent="0.25">
      <c r="A32" t="s">
        <v>27</v>
      </c>
      <c r="B32" s="8">
        <f>SUMIF(Expenses!$C$6:$C$65,A32,Expenses!$D$6:$D$65)</f>
      </c>
    </row>
    <row r="33" spans="1:2" x14ac:dyDescent="0.25">
      <c r="A33" t="s">
        <v>28</v>
      </c>
      <c r="B33" s="8">
        <f>SUMIF(Expenses!$C$6:$C$65,A33,Expenses!$D$6:$D$65)</f>
      </c>
    </row>
    <row r="34" spans="1:2" x14ac:dyDescent="0.25">
      <c r="A34" t="s">
        <v>29</v>
      </c>
      <c r="B34" s="8">
        <f>SUMIF(Expenses!$C$6:$C$65,A34,Expenses!$D$6:$D$65)</f>
      </c>
    </row>
    <row r="35" spans="1:2" x14ac:dyDescent="0.25">
      <c r="A35" t="s">
        <v>30</v>
      </c>
      <c r="B35" s="8">
        <f>SUMIF(Expenses!$C$6:$C$65,A35,Expenses!$D$6:$D$65)</f>
      </c>
    </row>
    <row r="36" spans="1:2" x14ac:dyDescent="0.25">
      <c r="A36" t="s">
        <v>31</v>
      </c>
      <c r="B36" s="8">
        <f>SUMIF(Expenses!$C$6:$C$65,A36,Expenses!$D$6:$D$65)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Job Log</vt:lpstr>
      <vt:lpstr>Expenses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Benchline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