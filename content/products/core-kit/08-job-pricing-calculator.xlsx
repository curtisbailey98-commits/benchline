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ur Numbers" state="visible" r:id="rId4"/>
    <sheet sheetId="2" name="Price a Job" state="visible" r:id="rId5"/>
    <sheet sheetId="3" name="Rate Card" state="visible" r:id="rId6"/>
  </sheets>
  <calcPr calcId="171027" fullCalcOnLoad="1"/>
</workbook>
</file>

<file path=xl/sharedStrings.xml><?xml version="1.0" encoding="utf-8"?>
<sst xmlns="http://schemas.openxmlformats.org/spreadsheetml/2006/main" count="92" uniqueCount="74">
  <si>
    <t>Your Numbers — what you need to charge per billable hour</t>
  </si>
  <si>
    <t>Start here. Every other sheet uses the Target hourly rate from this page.</t>
  </si>
  <si>
    <t>Yellow cells are inputs — change them. Green cells are results (formulas).</t>
  </si>
  <si>
    <t>Annual take-home pay goal (what you want to pay yourself)</t>
  </si>
  <si>
    <t>Be honest — this is your salary, not the business's revenue.</t>
  </si>
  <si>
    <t>Tax set-aside (% of profit) — ask your accountant</t>
  </si>
  <si>
    <t>Annual business costs (vehicle, insurance, supplies, equipment, software, phone, marketing)</t>
  </si>
  <si>
    <t>Working weeks per year (after vacation, weather, sick days)</t>
  </si>
  <si>
    <t>Billable hours per week (paid, on-site time — not driving or quoting)</t>
  </si>
  <si>
    <t>Most solo operators bill 25–32 hours in a 45–50 hour work week.</t>
  </si>
  <si>
    <t>Profit needed before tax</t>
  </si>
  <si>
    <t>Revenue needed per year</t>
  </si>
  <si>
    <t>Billable hours per year</t>
  </si>
  <si>
    <t>Minimum hourly rate (break-even on your goal)</t>
  </si>
  <si>
    <t>Buffer for slow weeks, callbacks, and price creep (%)</t>
  </si>
  <si>
    <t>TARGET HOURLY RATE (used by the other sheets)</t>
  </si>
  <si>
    <t>Revenue needed per working week</t>
  </si>
  <si>
    <t>Price a Job — before you say yes</t>
  </si>
  <si>
    <t>Enter your estimate of the job. The sheet tells you the minimum price and whether a quoted price works.</t>
  </si>
  <si>
    <t>Your target hourly rate</t>
  </si>
  <si>
    <t>Estimated on-site hours (you)</t>
  </si>
  <si>
    <t>Round-trip drive time (hours)</t>
  </si>
  <si>
    <t>Materials / supplies for this job</t>
  </si>
  <si>
    <t>Disposal, dump, rental, or parking fees</t>
  </si>
  <si>
    <t>Round-trip miles</t>
  </si>
  <si>
    <t>Vehicle cost per mile</t>
  </si>
  <si>
    <t>Your real cost per mile, or the current IRS standard mileage rate as a proxy.</t>
  </si>
  <si>
    <t>Card processing %</t>
  </si>
  <si>
    <t>Your minimum job price</t>
  </si>
  <si>
    <t>Price you're thinking of quoting</t>
  </si>
  <si>
    <t>Direct costs (materials + fees + mileage)</t>
  </si>
  <si>
    <t>PRICE NEEDED to hit your target</t>
  </si>
  <si>
    <t>Profit per hour of your time at the price you're thinking of</t>
  </si>
  <si>
    <t>Verdict</t>
  </si>
  <si>
    <t>Starting Rates (from pricing-sheets.csv)</t>
  </si>
  <si>
    <t>Starting ranges only — prices vary a lot by region. Replace with your local numbers.</t>
  </si>
  <si>
    <t>Category</t>
  </si>
  <si>
    <t>Item</t>
  </si>
  <si>
    <t>Unit</t>
  </si>
  <si>
    <t>Low $</t>
  </si>
  <si>
    <t>Target $</t>
  </si>
  <si>
    <t>Your price $</t>
  </si>
  <si>
    <t>Notes</t>
  </si>
  <si>
    <t>cleaning</t>
  </si>
  <si>
    <t>Standard home clean (2 bed / 2 bath)</t>
  </si>
  <si>
    <t>job</t>
  </si>
  <si>
    <t>Add rooms</t>
  </si>
  <si>
    <t>Deep clean</t>
  </si>
  <si>
    <t>First visit or move-out</t>
  </si>
  <si>
    <t>handyman</t>
  </si>
  <si>
    <t>Service call minimum (first hour)</t>
  </si>
  <si>
    <t/>
  </si>
  <si>
    <t>Hourly labor</t>
  </si>
  <si>
    <t>hour</t>
  </si>
  <si>
    <t>Materials separate</t>
  </si>
  <si>
    <t>lawn care</t>
  </si>
  <si>
    <t>Weekly mow — small lot</t>
  </si>
  <si>
    <t>visit</t>
  </si>
  <si>
    <t>Under 5k sq ft</t>
  </si>
  <si>
    <t>Seasonal cleanup</t>
  </si>
  <si>
    <t>pressure washing</t>
  </si>
  <si>
    <t>Driveway (2-car)</t>
  </si>
  <si>
    <t>Oil stains extra</t>
  </si>
  <si>
    <t>House soft wash (1 story)</t>
  </si>
  <si>
    <t>detailing</t>
  </si>
  <si>
    <t>Interior detail (sedan)</t>
  </si>
  <si>
    <t>Pet hair extra</t>
  </si>
  <si>
    <t>Full detail (sedan)</t>
  </si>
  <si>
    <t>any trade</t>
  </si>
  <si>
    <t>Same-day rush</t>
  </si>
  <si>
    <t>percent</t>
  </si>
  <si>
    <t>Percent on labor</t>
  </si>
  <si>
    <t>Late cancellation (under 24h)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</si>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</sst>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&quot;$&quot;#,##0.00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</font>
    <font>
      <b/>
      <color rgb="FFE8A838"/>
    </font>
  </fonts>
  <fills count="5">
    <fill>
      <patternFill patternType="none"/>
    </fill>
    <fill>
      <patternFill patternType="gray125"/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1C2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3" fontId="0" fillId="0" borderId="0" xfId="0" applyNumberFormat="1"/>
    <xf numFmtId="165" fontId="3" fillId="3" borderId="0" xfId="0" applyNumberFormat="1" applyFont="1" applyFill="1"/>
    <xf numFmtId="0" fontId="3" fillId="0" borderId="0" xfId="0" applyFont="1"/>
    <xf numFmtId="164" fontId="3" fillId="3" borderId="0" xfId="0" applyNumberFormat="1" applyFont="1" applyFill="1"/>
    <xf numFmtId="165" fontId="0" fillId="2" borderId="0" xfId="0" applyNumberFormat="1" applyFill="1"/>
    <xf numFmtId="2" fontId="0" fillId="2" borderId="0" xfId="0" applyNumberFormat="1" applyFill="1"/>
    <xf numFmtId="166" fontId="0" fillId="2" borderId="0" xfId="0" applyNumberFormat="1" applyFill="1"/>
    <xf numFmtId="165" fontId="0" fillId="0" borderId="0" xfId="0" applyNumberFormat="1"/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58" customWidth="1"/>
    <col min="2" max="2" width="18" customWidth="1"/>
    <col min="3" max="3" width="6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3" x14ac:dyDescent="0.25">
      <c r="A5" t="s">
        <v>3</v>
      </c>
      <c r="B5" s="3">
        <v>55000</v>
      </c>
      <c r="C5" t="s">
        <v>4</v>
      </c>
    </row>
    <row r="6" spans="1:2" x14ac:dyDescent="0.25">
      <c r="A6" t="s">
        <v>5</v>
      </c>
      <c r="B6" s="4">
        <v>0.25</v>
      </c>
    </row>
    <row r="7" spans="1:2" x14ac:dyDescent="0.25">
      <c r="A7" t="s">
        <v>6</v>
      </c>
      <c r="B7" s="3">
        <v>15000</v>
      </c>
    </row>
    <row r="8" spans="1:2" x14ac:dyDescent="0.25">
      <c r="A8" t="s">
        <v>7</v>
      </c>
      <c r="B8" s="5">
        <v>47</v>
      </c>
    </row>
    <row r="9" spans="1:3" x14ac:dyDescent="0.25">
      <c r="A9" t="s">
        <v>8</v>
      </c>
      <c r="B9" s="5">
        <v>28</v>
      </c>
      <c r="C9" t="s">
        <v>9</v>
      </c>
    </row>
    <row r="11" spans="1:2" x14ac:dyDescent="0.25">
      <c r="A11" t="s">
        <v>10</v>
      </c>
      <c r="B11" s="6">
        <f>B5/(1-B6)</f>
      </c>
    </row>
    <row r="12" spans="1:2" x14ac:dyDescent="0.25">
      <c r="A12" t="s">
        <v>11</v>
      </c>
      <c r="B12" s="6">
        <f>B11+B7</f>
      </c>
    </row>
    <row r="13" spans="1:2" x14ac:dyDescent="0.25">
      <c r="A13" t="s">
        <v>12</v>
      </c>
      <c r="B13" s="7">
        <f>B8*B9</f>
      </c>
    </row>
    <row r="14" spans="1:2" x14ac:dyDescent="0.25">
      <c r="A14" t="s">
        <v>13</v>
      </c>
      <c r="B14" s="8">
        <f>IF(B13&gt;0,B12/B13,0)</f>
      </c>
    </row>
    <row r="15" spans="1:2" x14ac:dyDescent="0.25">
      <c r="A15" t="s">
        <v>14</v>
      </c>
      <c r="B15" s="4">
        <v>0.15</v>
      </c>
    </row>
    <row r="16" spans="1:2" x14ac:dyDescent="0.25">
      <c r="A16" s="9" t="s">
        <v>15</v>
      </c>
      <c r="B16" s="8">
        <f>B14*(1+B15)</f>
      </c>
    </row>
    <row r="17" spans="1:2" x14ac:dyDescent="0.25">
      <c r="A17" t="s">
        <v>16</v>
      </c>
      <c r="B17" s="10">
        <f>IF(B8&gt;0,B12/B8,0)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58" customWidth="1"/>
    <col min="2" max="2" width="18" customWidth="1"/>
    <col min="3" max="3" width="50" customWidth="1"/>
  </cols>
  <sheetData>
    <row r="1" spans="1:1" x14ac:dyDescent="0.25">
      <c r="A1" s="1" t="s">
        <v>17</v>
      </c>
    </row>
    <row r="2" spans="1:1" x14ac:dyDescent="0.25">
      <c r="A2" s="2" t="s">
        <v>18</v>
      </c>
    </row>
    <row r="3" spans="1:1" x14ac:dyDescent="0.25">
      <c r="A3" s="2" t="s">
        <v>2</v>
      </c>
    </row>
    <row r="5" spans="1:2" x14ac:dyDescent="0.25">
      <c r="A5" t="s">
        <v>19</v>
      </c>
      <c r="B5" s="11">
        <f>'Your Numbers'!$B$16</f>
      </c>
    </row>
    <row r="6" spans="1:2" x14ac:dyDescent="0.25">
      <c r="A6" t="s">
        <v>20</v>
      </c>
      <c r="B6" s="12">
        <v>3</v>
      </c>
    </row>
    <row r="7" spans="1:2" x14ac:dyDescent="0.25">
      <c r="A7" t="s">
        <v>21</v>
      </c>
      <c r="B7" s="12">
        <v>0.5</v>
      </c>
    </row>
    <row r="8" spans="1:2" x14ac:dyDescent="0.25">
      <c r="A8" t="s">
        <v>22</v>
      </c>
      <c r="B8" s="11">
        <v>20</v>
      </c>
    </row>
    <row r="9" spans="1:2" x14ac:dyDescent="0.25">
      <c r="A9" t="s">
        <v>23</v>
      </c>
      <c r="B9" s="11">
        <v>0</v>
      </c>
    </row>
    <row r="10" spans="1:2" x14ac:dyDescent="0.25">
      <c r="A10" t="s">
        <v>24</v>
      </c>
      <c r="B10" s="5">
        <v>16</v>
      </c>
    </row>
    <row r="11" spans="1:3" x14ac:dyDescent="0.25">
      <c r="A11" t="s">
        <v>25</v>
      </c>
      <c r="B11" s="11">
        <v>0.7</v>
      </c>
      <c r="C11" t="s">
        <v>26</v>
      </c>
    </row>
    <row r="12" spans="1:2" x14ac:dyDescent="0.25">
      <c r="A12" t="s">
        <v>27</v>
      </c>
      <c r="B12" s="13">
        <v>0.029</v>
      </c>
    </row>
    <row r="13" spans="1:2" x14ac:dyDescent="0.25">
      <c r="A13" t="s">
        <v>28</v>
      </c>
      <c r="B13" s="3">
        <v>125</v>
      </c>
    </row>
    <row r="14" spans="1:2" x14ac:dyDescent="0.25">
      <c r="A14" t="s">
        <v>29</v>
      </c>
      <c r="B14" s="11">
        <v>300</v>
      </c>
    </row>
    <row r="16" spans="1:2" x14ac:dyDescent="0.25">
      <c r="A16" t="s">
        <v>30</v>
      </c>
      <c r="B16" s="14">
        <f>B8+B9+B10*B11</f>
      </c>
    </row>
    <row r="17" spans="1:2" x14ac:dyDescent="0.25">
      <c r="A17" s="9" t="s">
        <v>31</v>
      </c>
      <c r="B17" s="8">
        <f>CEILING(MAX(B13,((B6+B7)*B5+B16)/(1-B12)),5)</f>
      </c>
    </row>
    <row r="18" spans="1:2" x14ac:dyDescent="0.25">
      <c r="A18" t="s">
        <v>32</v>
      </c>
      <c r="B18" s="8">
        <f>IF(B6+B7&gt;0,(B14*(1-B12)-B16)/(B6+B7),0)</f>
      </c>
    </row>
    <row r="19" spans="1:2" x14ac:dyDescent="0.25">
      <c r="A19" t="s">
        <v>33</v>
      </c>
      <c r="B19" s="9">
        <f>IF(B14&lt;B13,"Below your minimum job price",IF(B18&gt;=B5,"Good price — send it",IF(B18&gt;=B5*0.85,"Borderline — tighten scope or raise","Too low — raise the price or pass")))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2" customWidth="1"/>
    <col min="2" max="2" width="44" customWidth="1"/>
    <col min="3" max="3" width="14" customWidth="1"/>
    <col min="4" max="5" width="12" customWidth="1"/>
    <col min="6" max="6" width="14" customWidth="1"/>
    <col min="7" max="7" width="50" customWidth="1"/>
  </cols>
  <sheetData>
    <row r="1" spans="1:1" x14ac:dyDescent="0.25">
      <c r="A1" s="1" t="s">
        <v>34</v>
      </c>
    </row>
    <row r="2" spans="1:1" x14ac:dyDescent="0.25">
      <c r="A2" s="2" t="s">
        <v>35</v>
      </c>
    </row>
    <row r="4" spans="1:7" x14ac:dyDescent="0.25">
      <c r="A4" s="15" t="s">
        <v>36</v>
      </c>
      <c r="B4" s="15" t="s">
        <v>37</v>
      </c>
      <c r="C4" s="15" t="s">
        <v>38</v>
      </c>
      <c r="D4" s="15" t="s">
        <v>39</v>
      </c>
      <c r="E4" s="15" t="s">
        <v>40</v>
      </c>
      <c r="F4" s="15" t="s">
        <v>41</v>
      </c>
      <c r="G4" s="15" t="s">
        <v>42</v>
      </c>
    </row>
    <row r="5" spans="1:7" x14ac:dyDescent="0.25">
      <c r="A5" t="s">
        <v>43</v>
      </c>
      <c r="B5" t="s">
        <v>44</v>
      </c>
      <c r="C5" t="s">
        <v>45</v>
      </c>
      <c r="D5" s="14">
        <v>120</v>
      </c>
      <c r="E5" s="14">
        <v>180</v>
      </c>
      <c r="F5" s="11"/>
      <c r="G5" t="s">
        <v>46</v>
      </c>
    </row>
    <row r="6" spans="1:7" x14ac:dyDescent="0.25">
      <c r="A6" t="s">
        <v>43</v>
      </c>
      <c r="B6" t="s">
        <v>47</v>
      </c>
      <c r="C6" t="s">
        <v>45</v>
      </c>
      <c r="D6" s="14">
        <v>220</v>
      </c>
      <c r="E6" s="14">
        <v>350</v>
      </c>
      <c r="F6" s="11"/>
      <c r="G6" t="s">
        <v>48</v>
      </c>
    </row>
    <row r="7" spans="1:7" x14ac:dyDescent="0.25">
      <c r="A7" t="s">
        <v>49</v>
      </c>
      <c r="B7" t="s">
        <v>50</v>
      </c>
      <c r="C7" t="s">
        <v>45</v>
      </c>
      <c r="D7" s="14">
        <v>95</v>
      </c>
      <c r="E7" s="14">
        <v>150</v>
      </c>
      <c r="F7" s="11"/>
      <c r="G7" t="s">
        <v>51</v>
      </c>
    </row>
    <row r="8" spans="1:7" x14ac:dyDescent="0.25">
      <c r="A8" t="s">
        <v>49</v>
      </c>
      <c r="B8" t="s">
        <v>52</v>
      </c>
      <c r="C8" t="s">
        <v>53</v>
      </c>
      <c r="D8" s="14">
        <v>65</v>
      </c>
      <c r="E8" s="14">
        <v>95</v>
      </c>
      <c r="F8" s="11"/>
      <c r="G8" t="s">
        <v>54</v>
      </c>
    </row>
    <row r="9" spans="1:7" x14ac:dyDescent="0.25">
      <c r="A9" t="s">
        <v>55</v>
      </c>
      <c r="B9" t="s">
        <v>56</v>
      </c>
      <c r="C9" t="s">
        <v>57</v>
      </c>
      <c r="D9" s="14">
        <v>35</v>
      </c>
      <c r="E9" s="14">
        <v>55</v>
      </c>
      <c r="F9" s="11"/>
      <c r="G9" t="s">
        <v>58</v>
      </c>
    </row>
    <row r="10" spans="1:7" x14ac:dyDescent="0.25">
      <c r="A10" t="s">
        <v>55</v>
      </c>
      <c r="B10" t="s">
        <v>59</v>
      </c>
      <c r="C10" t="s">
        <v>45</v>
      </c>
      <c r="D10" s="14">
        <v>150</v>
      </c>
      <c r="E10" s="14">
        <v>300</v>
      </c>
      <c r="F10" s="11"/>
      <c r="G10" t="s">
        <v>51</v>
      </c>
    </row>
    <row r="11" spans="1:7" x14ac:dyDescent="0.25">
      <c r="A11" t="s">
        <v>60</v>
      </c>
      <c r="B11" t="s">
        <v>61</v>
      </c>
      <c r="C11" t="s">
        <v>45</v>
      </c>
      <c r="D11" s="14">
        <v>150</v>
      </c>
      <c r="E11" s="14">
        <v>250</v>
      </c>
      <c r="F11" s="11"/>
      <c r="G11" t="s">
        <v>62</v>
      </c>
    </row>
    <row r="12" spans="1:7" x14ac:dyDescent="0.25">
      <c r="A12" t="s">
        <v>60</v>
      </c>
      <c r="B12" t="s">
        <v>63</v>
      </c>
      <c r="C12" t="s">
        <v>45</v>
      </c>
      <c r="D12" s="14">
        <v>250</v>
      </c>
      <c r="E12" s="14">
        <v>450</v>
      </c>
      <c r="F12" s="11"/>
      <c r="G12" t="s">
        <v>51</v>
      </c>
    </row>
    <row r="13" spans="1:7" x14ac:dyDescent="0.25">
      <c r="A13" t="s">
        <v>64</v>
      </c>
      <c r="B13" t="s">
        <v>65</v>
      </c>
      <c r="C13" t="s">
        <v>45</v>
      </c>
      <c r="D13" s="14">
        <v>125</v>
      </c>
      <c r="E13" s="14">
        <v>200</v>
      </c>
      <c r="F13" s="11"/>
      <c r="G13" t="s">
        <v>66</v>
      </c>
    </row>
    <row r="14" spans="1:7" x14ac:dyDescent="0.25">
      <c r="A14" t="s">
        <v>64</v>
      </c>
      <c r="B14" t="s">
        <v>67</v>
      </c>
      <c r="C14" t="s">
        <v>45</v>
      </c>
      <c r="D14" s="14">
        <v>200</v>
      </c>
      <c r="E14" s="14">
        <v>350</v>
      </c>
      <c r="F14" s="11"/>
      <c r="G14" t="s">
        <v>51</v>
      </c>
    </row>
    <row r="15" spans="1:7" x14ac:dyDescent="0.25">
      <c r="A15" t="s">
        <v>68</v>
      </c>
      <c r="B15" t="s">
        <v>69</v>
      </c>
      <c r="C15" t="s">
        <v>70</v>
      </c>
      <c r="D15" s="14">
        <v>20</v>
      </c>
      <c r="E15" s="14">
        <v>35</v>
      </c>
      <c r="F15" s="11"/>
      <c r="G15" t="s">
        <v>71</v>
      </c>
    </row>
    <row r="16" spans="1:7" x14ac:dyDescent="0.25">
      <c r="A16" t="s">
        <v>68</v>
      </c>
      <c r="B16" t="s">
        <v>72</v>
      </c>
      <c r="C16" t="s">
        <v>73</v>
      </c>
      <c r="D16" s="14">
        <v>50</v>
      </c>
      <c r="E16" s="14">
        <v>100</v>
      </c>
      <c r="F16" s="11"/>
      <c r="G1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Your Numbers</vt:lpstr>
      <vt:lpstr>Price a Job</vt:lpstr>
      <vt:lpstr>Rate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Benchline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