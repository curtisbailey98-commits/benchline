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urly Target" state="visible" r:id="rId4"/>
    <sheet sheetId="2" name="Job Profit Check" state="visible" r:id="rId5"/>
    <sheet sheetId="3" name="Drive Time Cost" state="visible" r:id="rId6"/>
    <sheet sheetId="4" name="Break-Even" state="visible" r:id="rId7"/>
    <sheet sheetId="5" name="Price Increase" state="visible" r:id="rId8"/>
  </sheets>
  <calcPr calcId="171027" fullCalcOnLoad="1"/>
</workbook>
</file>

<file path=xl/sharedStrings.xml><?xml version="1.0" encoding="utf-8"?>
<sst xmlns="http://schemas.openxmlformats.org/spreadsheetml/2006/main" count="105" uniqueCount="93">
  <si>
    <t>1 · Hourly Target — from your life to your rate</t>
  </si>
  <si>
    <t>Fill in monthly costs, your pay goal, and realistic billable hours.</t>
  </si>
  <si>
    <t>Yellow cells are inputs — change them. Green cells are results (formulas).</t>
  </si>
  <si>
    <t>Monthly business cost</t>
  </si>
  <si>
    <t>Monthly $</t>
  </si>
  <si>
    <t>Annual $</t>
  </si>
  <si>
    <t>Notes</t>
  </si>
  <si>
    <t>Vehicle payment or depreciation</t>
  </si>
  <si>
    <t>Truck/van</t>
  </si>
  <si>
    <t>Fuel</t>
  </si>
  <si>
    <t/>
  </si>
  <si>
    <t>Vehicle insurance + maintenance</t>
  </si>
  <si>
    <t>Commercial auto if required</t>
  </si>
  <si>
    <t>General liability insurance</t>
  </si>
  <si>
    <t>Get a real quote</t>
  </si>
  <si>
    <t>Supplies / chemicals / consumables</t>
  </si>
  <si>
    <t>Equipment repair + replacement fund</t>
  </si>
  <si>
    <t>Mowers, washers, vacuums wear out</t>
  </si>
  <si>
    <t>Phone + software (scheduling, invoicing)</t>
  </si>
  <si>
    <t>Marketing (ads, cards, yard signs, website)</t>
  </si>
  <si>
    <t>Accounting, bank, and card fees (non-transaction)</t>
  </si>
  <si>
    <t>Health insurance</t>
  </si>
  <si>
    <t>If you pay your own</t>
  </si>
  <si>
    <t>Retirement savings</t>
  </si>
  <si>
    <t>Pay future-you</t>
  </si>
  <si>
    <t>Other</t>
  </si>
  <si>
    <t>Total business costs</t>
  </si>
  <si>
    <t>Take-home pay goal (per year)</t>
  </si>
  <si>
    <t>Tax set-aside (% of profit)</t>
  </si>
  <si>
    <t>Working weeks per year</t>
  </si>
  <si>
    <t>Billable hours per week</t>
  </si>
  <si>
    <t>Non-billable hours per week (driving, quoting, admin)</t>
  </si>
  <si>
    <t>Revenue needed per year</t>
  </si>
  <si>
    <t>Minimum rate per billable hour</t>
  </si>
  <si>
    <t>Buffer (%)</t>
  </si>
  <si>
    <t>TARGET RATE per billable hour</t>
  </si>
  <si>
    <t>What you actually earn per hour worked (incl. non-billable)</t>
  </si>
  <si>
    <t>Billable share of your working time</t>
  </si>
  <si>
    <t>2 · Job Profit Check — run before you send a quote</t>
  </si>
  <si>
    <t>Quoted price</t>
  </si>
  <si>
    <t>On-site hours (you)</t>
  </si>
  <si>
    <t>Drive time, round trip (hours)</t>
  </si>
  <si>
    <t>Materials / supplies for this job</t>
  </si>
  <si>
    <t>Disposal / dump / rental fees</t>
  </si>
  <si>
    <t>Round-trip miles</t>
  </si>
  <si>
    <t>Vehicle cost per mile</t>
  </si>
  <si>
    <t>Use your real cost, or the current IRS standard mileage rate as a proxy.</t>
  </si>
  <si>
    <t>Card processing %</t>
  </si>
  <si>
    <t>Card processing fixed fee</t>
  </si>
  <si>
    <t>Helper hours</t>
  </si>
  <si>
    <t>Helper loaded cost per hour</t>
  </si>
  <si>
    <t>Your target rate per hour</t>
  </si>
  <si>
    <t>Direct costs (materials + fees + vehicle + card + helper)</t>
  </si>
  <si>
    <t>Gross profit</t>
  </si>
  <si>
    <t>Gross margin</t>
  </si>
  <si>
    <t>Profit per hour of YOUR time (incl. drive)</t>
  </si>
  <si>
    <t>Verdict</t>
  </si>
  <si>
    <t>Price needed to hit your target</t>
  </si>
  <si>
    <t>3 · Drive Time Cost — what a trip really costs</t>
  </si>
  <si>
    <t>Use this to set trip fees and a service radius.</t>
  </si>
  <si>
    <t>Free-travel allowance (round-trip minutes)</t>
  </si>
  <si>
    <t>Zone</t>
  </si>
  <si>
    <t>Round-trip min</t>
  </si>
  <si>
    <t>Trip cost</t>
  </si>
  <si>
    <t>Cost beyond free</t>
  </si>
  <si>
    <t>Suggested trip fee</t>
  </si>
  <si>
    <t>Zone 1 (home base)</t>
  </si>
  <si>
    <t>Zone 2</t>
  </si>
  <si>
    <t>Zone 3</t>
  </si>
  <si>
    <t>Zone 4</t>
  </si>
  <si>
    <t>4 · Break-Even — jobs needed per month</t>
  </si>
  <si>
    <t>Monthly business costs</t>
  </si>
  <si>
    <t>Monthly pay goal (before tax)</t>
  </si>
  <si>
    <t>Average job price</t>
  </si>
  <si>
    <t>Variable cost per job (materials, fuel, fees)</t>
  </si>
  <si>
    <t>Contribution per job</t>
  </si>
  <si>
    <t>Jobs per month to cover business costs</t>
  </si>
  <si>
    <t>Jobs per month to cover costs + your pay</t>
  </si>
  <si>
    <t>…which is this many per week (4.33 wks/mo)</t>
  </si>
  <si>
    <t>5 · Price Increase Planner</t>
  </si>
  <si>
    <t>How many clients could you lose and still come out ahead?</t>
  </si>
  <si>
    <t>Active recurring clients</t>
  </si>
  <si>
    <t>Average price per visit</t>
  </si>
  <si>
    <t>Visits per client per year</t>
  </si>
  <si>
    <t>Planned increase (%)</t>
  </si>
  <si>
    <t>Clients you expect to lose (%)</t>
  </si>
  <si>
    <t>Current annual revenue from these clients</t>
  </si>
  <si>
    <t>New price per visit</t>
  </si>
  <si>
    <t>Projected annual revenue after increase + losses</t>
  </si>
  <si>
    <t>Net change per year</t>
  </si>
  <si>
    <t>Revenue-neutral client loss (you break even if you lose this %)</t>
  </si>
  <si>
    <t>Hours freed per year by clients who leave (at 1 visit ≈ hours below)</t>
  </si>
  <si>
    <t>Hours freed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</si>
</sst>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&quot;$&quot;#,##0.00"/>
    <numFmt numFmtId="166" formatCode="0.0%"/>
    <numFmt numFmtId="167" formatCode="0.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  <color rgb="FFE8A838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C2029"/>
      </patternFill>
    </fill>
    <fill>
      <patternFill patternType="solid">
        <fgColor rgb="FFFFF3CD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0" fillId="3" borderId="0" xfId="0" applyNumberFormat="1" applyFill="1"/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9" fontId="0" fillId="3" borderId="0" xfId="0" applyNumberFormat="1" applyFill="1"/>
    <xf numFmtId="0" fontId="0" fillId="3" borderId="0" xfId="0" applyFill="1"/>
    <xf numFmtId="164" fontId="4" fillId="4" borderId="0" xfId="0" applyNumberFormat="1" applyFont="1" applyFill="1"/>
    <xf numFmtId="165" fontId="4" fillId="4" borderId="0" xfId="0" applyNumberFormat="1" applyFont="1" applyFill="1"/>
    <xf numFmtId="9" fontId="4" fillId="4" borderId="0" xfId="0" applyNumberFormat="1" applyFont="1" applyFill="1"/>
    <xf numFmtId="165" fontId="0" fillId="3" borderId="0" xfId="0" applyNumberFormat="1" applyFill="1"/>
    <xf numFmtId="2" fontId="0" fillId="3" borderId="0" xfId="0" applyNumberFormat="1" applyFill="1"/>
    <xf numFmtId="1" fontId="0" fillId="3" borderId="0" xfId="0" applyNumberFormat="1" applyFill="1"/>
    <xf numFmtId="166" fontId="0" fillId="3" borderId="0" xfId="0" applyNumberFormat="1" applyFill="1"/>
    <xf numFmtId="165" fontId="0" fillId="0" borderId="0" xfId="0" applyNumberFormat="1"/>
    <xf numFmtId="0" fontId="4" fillId="4" borderId="0" xfId="0" applyFont="1" applyFill="1"/>
    <xf numFmtId="167" fontId="4" fillId="4" borderId="0" xfId="0" applyNumberFormat="1" applyFont="1" applyFill="1"/>
    <xf numFmtId="166" fontId="4" fillId="4" borderId="0" xfId="0" applyNumberFormat="1" applyFont="1" applyFill="1"/>
    <xf numFmtId="1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52" customWidth="1"/>
    <col min="2" max="3" width="16" customWidth="1"/>
    <col min="4" max="4" width="5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4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x14ac:dyDescent="0.25">
      <c r="A6" t="s">
        <v>7</v>
      </c>
      <c r="B6" s="4">
        <v>450</v>
      </c>
      <c r="C6" s="5">
        <f>B6*12</f>
      </c>
      <c r="D6" t="s">
        <v>8</v>
      </c>
    </row>
    <row r="7" spans="1:4" x14ac:dyDescent="0.25">
      <c r="A7" t="s">
        <v>9</v>
      </c>
      <c r="B7" s="4">
        <v>350</v>
      </c>
      <c r="C7" s="5">
        <f>B7*12</f>
      </c>
      <c r="D7" t="s">
        <v>10</v>
      </c>
    </row>
    <row r="8" spans="1:4" x14ac:dyDescent="0.25">
      <c r="A8" t="s">
        <v>11</v>
      </c>
      <c r="B8" s="4">
        <v>250</v>
      </c>
      <c r="C8" s="5">
        <f>B8*12</f>
      </c>
      <c r="D8" t="s">
        <v>12</v>
      </c>
    </row>
    <row r="9" spans="1:4" x14ac:dyDescent="0.25">
      <c r="A9" t="s">
        <v>13</v>
      </c>
      <c r="B9" s="4">
        <v>80</v>
      </c>
      <c r="C9" s="5">
        <f>B9*12</f>
      </c>
      <c r="D9" t="s">
        <v>14</v>
      </c>
    </row>
    <row r="10" spans="1:4" x14ac:dyDescent="0.25">
      <c r="A10" t="s">
        <v>15</v>
      </c>
      <c r="B10" s="4">
        <v>200</v>
      </c>
      <c r="C10" s="5">
        <f>B10*12</f>
      </c>
      <c r="D10" t="s">
        <v>10</v>
      </c>
    </row>
    <row r="11" spans="1:4" x14ac:dyDescent="0.25">
      <c r="A11" t="s">
        <v>16</v>
      </c>
      <c r="B11" s="4">
        <v>150</v>
      </c>
      <c r="C11" s="5">
        <f>B11*12</f>
      </c>
      <c r="D11" t="s">
        <v>17</v>
      </c>
    </row>
    <row r="12" spans="1:4" x14ac:dyDescent="0.25">
      <c r="A12" t="s">
        <v>18</v>
      </c>
      <c r="B12" s="4">
        <v>90</v>
      </c>
      <c r="C12" s="5">
        <f>B12*12</f>
      </c>
      <c r="D12" t="s">
        <v>10</v>
      </c>
    </row>
    <row r="13" spans="1:4" x14ac:dyDescent="0.25">
      <c r="A13" t="s">
        <v>19</v>
      </c>
      <c r="B13" s="4">
        <v>150</v>
      </c>
      <c r="C13" s="5">
        <f>B13*12</f>
      </c>
      <c r="D13" t="s">
        <v>10</v>
      </c>
    </row>
    <row r="14" spans="1:4" x14ac:dyDescent="0.25">
      <c r="A14" t="s">
        <v>20</v>
      </c>
      <c r="B14" s="4">
        <v>60</v>
      </c>
      <c r="C14" s="5">
        <f>B14*12</f>
      </c>
      <c r="D14" t="s">
        <v>10</v>
      </c>
    </row>
    <row r="15" spans="1:4" x14ac:dyDescent="0.25">
      <c r="A15" t="s">
        <v>21</v>
      </c>
      <c r="B15" s="4">
        <v>400</v>
      </c>
      <c r="C15" s="5">
        <f>B15*12</f>
      </c>
      <c r="D15" t="s">
        <v>22</v>
      </c>
    </row>
    <row r="16" spans="1:4" x14ac:dyDescent="0.25">
      <c r="A16" t="s">
        <v>23</v>
      </c>
      <c r="B16" s="4">
        <v>300</v>
      </c>
      <c r="C16" s="5">
        <f>B16*12</f>
      </c>
      <c r="D16" t="s">
        <v>24</v>
      </c>
    </row>
    <row r="17" spans="1:4" x14ac:dyDescent="0.25">
      <c r="A17" t="s">
        <v>25</v>
      </c>
      <c r="B17" s="4">
        <v>0</v>
      </c>
      <c r="C17" s="5">
        <f>B17*12</f>
      </c>
      <c r="D17" t="s">
        <v>10</v>
      </c>
    </row>
    <row r="18" spans="1:3" x14ac:dyDescent="0.25">
      <c r="A18" s="6" t="s">
        <v>26</v>
      </c>
      <c r="B18" s="7">
        <f>SUM(B6:B17)</f>
      </c>
      <c r="C18" s="7">
        <f>SUM(C6:C17)</f>
      </c>
    </row>
    <row r="20" spans="1:2" x14ac:dyDescent="0.25">
      <c r="A20" t="s">
        <v>27</v>
      </c>
      <c r="B20" s="4">
        <v>55000</v>
      </c>
    </row>
    <row r="21" spans="1:2" x14ac:dyDescent="0.25">
      <c r="A21" t="s">
        <v>28</v>
      </c>
      <c r="B21" s="8">
        <v>0.25</v>
      </c>
    </row>
    <row r="22" spans="1:2" x14ac:dyDescent="0.25">
      <c r="A22" t="s">
        <v>29</v>
      </c>
      <c r="B22" s="9">
        <v>47</v>
      </c>
    </row>
    <row r="23" spans="1:2" x14ac:dyDescent="0.25">
      <c r="A23" t="s">
        <v>30</v>
      </c>
      <c r="B23" s="9">
        <v>28</v>
      </c>
    </row>
    <row r="24" spans="1:2" x14ac:dyDescent="0.25">
      <c r="A24" t="s">
        <v>31</v>
      </c>
      <c r="B24" s="9">
        <v>14</v>
      </c>
    </row>
    <row r="26" spans="1:2" x14ac:dyDescent="0.25">
      <c r="A26" t="s">
        <v>32</v>
      </c>
      <c r="B26" s="10">
        <f>B20/(1-B21)+C18</f>
      </c>
    </row>
    <row r="27" spans="1:2" x14ac:dyDescent="0.25">
      <c r="A27" t="s">
        <v>33</v>
      </c>
      <c r="B27" s="11">
        <f>IF(B22*B23&gt;0,B26/(B22*B23),0)</f>
      </c>
    </row>
    <row r="28" spans="1:2" x14ac:dyDescent="0.25">
      <c r="A28" t="s">
        <v>34</v>
      </c>
      <c r="B28" s="8">
        <v>0.15</v>
      </c>
    </row>
    <row r="29" spans="1:2" x14ac:dyDescent="0.25">
      <c r="A29" s="6" t="s">
        <v>35</v>
      </c>
      <c r="B29" s="11">
        <f>B27*(1+B28)</f>
      </c>
    </row>
    <row r="30" spans="1:2" x14ac:dyDescent="0.25">
      <c r="A30" t="s">
        <v>36</v>
      </c>
      <c r="B30" s="11">
        <f>IF(B22*(B23+B24)&gt;0,B20/(B22*(B23+B24)),0)</f>
      </c>
    </row>
    <row r="31" spans="1:2" x14ac:dyDescent="0.25">
      <c r="A31" t="s">
        <v>37</v>
      </c>
      <c r="B31" s="12">
        <f>IF(B23+B24&gt;0,B23/(B23+B24),0)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52" customWidth="1"/>
    <col min="2" max="2" width="16" customWidth="1"/>
    <col min="3" max="3" width="50" customWidth="1"/>
  </cols>
  <sheetData>
    <row r="1" spans="1:1" x14ac:dyDescent="0.25">
      <c r="A1" s="1" t="s">
        <v>38</v>
      </c>
    </row>
    <row r="3" spans="1:1" x14ac:dyDescent="0.25">
      <c r="A3" s="2" t="s">
        <v>2</v>
      </c>
    </row>
    <row r="5" spans="1:2" x14ac:dyDescent="0.25">
      <c r="A5" t="s">
        <v>39</v>
      </c>
      <c r="B5" s="13">
        <v>350</v>
      </c>
    </row>
    <row r="6" spans="1:2" x14ac:dyDescent="0.25">
      <c r="A6" t="s">
        <v>40</v>
      </c>
      <c r="B6" s="14">
        <v>3.5</v>
      </c>
    </row>
    <row r="7" spans="1:2" x14ac:dyDescent="0.25">
      <c r="A7" t="s">
        <v>41</v>
      </c>
      <c r="B7" s="14">
        <v>0.75</v>
      </c>
    </row>
    <row r="8" spans="1:2" x14ac:dyDescent="0.25">
      <c r="A8" t="s">
        <v>42</v>
      </c>
      <c r="B8" s="13">
        <v>25</v>
      </c>
    </row>
    <row r="9" spans="1:2" x14ac:dyDescent="0.25">
      <c r="A9" t="s">
        <v>43</v>
      </c>
      <c r="B9" s="13">
        <v>0</v>
      </c>
    </row>
    <row r="10" spans="1:2" x14ac:dyDescent="0.25">
      <c r="A10" t="s">
        <v>44</v>
      </c>
      <c r="B10" s="15">
        <v>18</v>
      </c>
    </row>
    <row r="11" spans="1:3" x14ac:dyDescent="0.25">
      <c r="A11" t="s">
        <v>45</v>
      </c>
      <c r="B11" s="13">
        <v>0.7</v>
      </c>
      <c r="C11" t="s">
        <v>46</v>
      </c>
    </row>
    <row r="12" spans="1:2" x14ac:dyDescent="0.25">
      <c r="A12" t="s">
        <v>47</v>
      </c>
      <c r="B12" s="16">
        <v>0.029</v>
      </c>
    </row>
    <row r="13" spans="1:2" x14ac:dyDescent="0.25">
      <c r="A13" t="s">
        <v>48</v>
      </c>
      <c r="B13" s="13">
        <v>0.3</v>
      </c>
    </row>
    <row r="14" spans="1:2" x14ac:dyDescent="0.25">
      <c r="A14" t="s">
        <v>49</v>
      </c>
      <c r="B14" s="14">
        <v>0</v>
      </c>
    </row>
    <row r="15" spans="1:2" x14ac:dyDescent="0.25">
      <c r="A15" t="s">
        <v>50</v>
      </c>
      <c r="B15" s="13">
        <v>24</v>
      </c>
    </row>
    <row r="16" spans="1:2" x14ac:dyDescent="0.25">
      <c r="A16" t="s">
        <v>51</v>
      </c>
      <c r="B16" s="13">
        <f>'Hourly Target'!B29</f>
      </c>
    </row>
    <row r="18" spans="1:2" x14ac:dyDescent="0.25">
      <c r="A18" t="s">
        <v>52</v>
      </c>
      <c r="B18" s="17">
        <f>B8+B9+B10*B11+B5*B12+B13+B14*B15</f>
      </c>
    </row>
    <row r="19" spans="1:2" x14ac:dyDescent="0.25">
      <c r="A19" t="s">
        <v>53</v>
      </c>
      <c r="B19" s="11">
        <f>B5-B18</f>
      </c>
    </row>
    <row r="20" spans="1:2" x14ac:dyDescent="0.25">
      <c r="A20" t="s">
        <v>54</v>
      </c>
      <c r="B20" s="12">
        <f>IF(B5&gt;0,B19/B5,0)</f>
      </c>
    </row>
    <row r="21" spans="1:2" x14ac:dyDescent="0.25">
      <c r="A21" t="s">
        <v>55</v>
      </c>
      <c r="B21" s="11">
        <f>IF(B6+B7&gt;0,B19/(B6+B7),0)</f>
      </c>
    </row>
    <row r="22" spans="1:2" x14ac:dyDescent="0.25">
      <c r="A22" t="s">
        <v>56</v>
      </c>
      <c r="B22" s="6">
        <f>IF(B21&gt;=B16,"Take it",IF(B21&gt;=B16*0.85,"Borderline — tighten scope or raise price","Raise the price or pass"))</f>
      </c>
    </row>
    <row r="23" spans="1:2" x14ac:dyDescent="0.25">
      <c r="A23" t="s">
        <v>57</v>
      </c>
      <c r="B23" s="11">
        <f>CEILING(((B16*(B6+B7))+B8+B9+B10*B11+B13+B14*B15)/(1-B12),5)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3" width="14" customWidth="1"/>
    <col min="4" max="6" width="16" customWidth="1"/>
  </cols>
  <sheetData>
    <row r="1" spans="1:1" x14ac:dyDescent="0.25">
      <c r="A1" s="1" t="s">
        <v>58</v>
      </c>
    </row>
    <row r="2" spans="1:1" x14ac:dyDescent="0.25">
      <c r="A2" s="2" t="s">
        <v>59</v>
      </c>
    </row>
    <row r="3" spans="1:1" x14ac:dyDescent="0.25">
      <c r="A3" s="2" t="s">
        <v>2</v>
      </c>
    </row>
    <row r="4" spans="1:2" x14ac:dyDescent="0.25">
      <c r="A4" t="s">
        <v>51</v>
      </c>
      <c r="B4" s="13">
        <f>'Hourly Target'!B29</f>
      </c>
    </row>
    <row r="5" spans="1:2" x14ac:dyDescent="0.25">
      <c r="A5" t="s">
        <v>45</v>
      </c>
      <c r="B5" s="13">
        <v>0.7</v>
      </c>
    </row>
    <row r="6" spans="1:2" x14ac:dyDescent="0.25">
      <c r="A6" t="s">
        <v>60</v>
      </c>
      <c r="B6" s="9">
        <v>30</v>
      </c>
    </row>
    <row r="8" spans="1:6" x14ac:dyDescent="0.25">
      <c r="A8" s="3" t="s">
        <v>61</v>
      </c>
      <c r="B8" s="3" t="s">
        <v>44</v>
      </c>
      <c r="C8" s="3" t="s">
        <v>62</v>
      </c>
      <c r="D8" s="3" t="s">
        <v>63</v>
      </c>
      <c r="E8" s="3" t="s">
        <v>64</v>
      </c>
      <c r="F8" s="3" t="s">
        <v>65</v>
      </c>
    </row>
    <row r="9" spans="1:6" x14ac:dyDescent="0.25">
      <c r="A9" s="9" t="s">
        <v>66</v>
      </c>
      <c r="B9" s="9">
        <v>10</v>
      </c>
      <c r="C9" s="9">
        <v>25</v>
      </c>
      <c r="D9" s="17">
        <f>B9*$B$5+C9/60*$B$4</f>
      </c>
      <c r="E9" s="17">
        <f>MAX(0,D9-$B$6/60*$B$4-$B$6/C9*B9*$B$5)</f>
      </c>
      <c r="F9" s="11">
        <f>CEILING(E9,5)</f>
      </c>
    </row>
    <row r="10" spans="1:6" x14ac:dyDescent="0.25">
      <c r="A10" s="9" t="s">
        <v>67</v>
      </c>
      <c r="B10" s="9">
        <v>20</v>
      </c>
      <c r="C10" s="9">
        <v>40</v>
      </c>
      <c r="D10" s="17">
        <f>B10*$B$5+C10/60*$B$4</f>
      </c>
      <c r="E10" s="17">
        <f>MAX(0,D10-$B$6/60*$B$4-$B$6/C10*B10*$B$5)</f>
      </c>
      <c r="F10" s="11">
        <f>CEILING(E10,5)</f>
      </c>
    </row>
    <row r="11" spans="1:6" x14ac:dyDescent="0.25">
      <c r="A11" s="9" t="s">
        <v>68</v>
      </c>
      <c r="B11" s="9">
        <v>30</v>
      </c>
      <c r="C11" s="9">
        <v>60</v>
      </c>
      <c r="D11" s="17">
        <f>B11*$B$5+C11/60*$B$4</f>
      </c>
      <c r="E11" s="17">
        <f>MAX(0,D11-$B$6/60*$B$4-$B$6/C11*B11*$B$5)</f>
      </c>
      <c r="F11" s="11">
        <f>CEILING(E11,5)</f>
      </c>
    </row>
    <row r="12" spans="1:6" x14ac:dyDescent="0.25">
      <c r="A12" s="9" t="s">
        <v>69</v>
      </c>
      <c r="B12" s="9">
        <v>45</v>
      </c>
      <c r="C12" s="9">
        <v>85</v>
      </c>
      <c r="D12" s="17">
        <f>B12*$B$5+C12/60*$B$4</f>
      </c>
      <c r="E12" s="17">
        <f>MAX(0,D12-$B$6/60*$B$4-$B$6/C12*B12*$B$5)</f>
      </c>
      <c r="F12" s="11">
        <f>CEILING(E12,5)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52" customWidth="1"/>
    <col min="2" max="2" width="16" customWidth="1"/>
  </cols>
  <sheetData>
    <row r="1" spans="1:1" x14ac:dyDescent="0.25">
      <c r="A1" s="1" t="s">
        <v>70</v>
      </c>
    </row>
    <row r="3" spans="1:1" x14ac:dyDescent="0.25">
      <c r="A3" s="2" t="s">
        <v>2</v>
      </c>
    </row>
    <row r="5" spans="1:2" x14ac:dyDescent="0.25">
      <c r="A5" t="s">
        <v>71</v>
      </c>
      <c r="B5" s="4">
        <f>'Hourly Target'!B18</f>
      </c>
    </row>
    <row r="6" spans="1:2" x14ac:dyDescent="0.25">
      <c r="A6" t="s">
        <v>72</v>
      </c>
      <c r="B6" s="4">
        <f>'Hourly Target'!B20/(1-'Hourly Target'!B21)/12</f>
      </c>
    </row>
    <row r="7" spans="1:2" x14ac:dyDescent="0.25">
      <c r="A7" t="s">
        <v>73</v>
      </c>
      <c r="B7" s="4">
        <v>225</v>
      </c>
    </row>
    <row r="8" spans="1:2" x14ac:dyDescent="0.25">
      <c r="A8" t="s">
        <v>74</v>
      </c>
      <c r="B8" s="4">
        <v>30</v>
      </c>
    </row>
    <row r="10" spans="1:2" x14ac:dyDescent="0.25">
      <c r="A10" t="s">
        <v>75</v>
      </c>
      <c r="B10" s="11">
        <f>B7-B8</f>
      </c>
    </row>
    <row r="11" spans="1:2" x14ac:dyDescent="0.25">
      <c r="A11" t="s">
        <v>76</v>
      </c>
      <c r="B11" s="18">
        <f>IF(B10&gt;0,CEILING(B5/B10,1),0)</f>
      </c>
    </row>
    <row r="12" spans="1:2" x14ac:dyDescent="0.25">
      <c r="A12" t="s">
        <v>77</v>
      </c>
      <c r="B12" s="18">
        <f>IF(B10&gt;0,CEILING((B5+B6)/B10,1),0)</f>
      </c>
    </row>
    <row r="13" spans="1:2" x14ac:dyDescent="0.25">
      <c r="A13" t="s">
        <v>78</v>
      </c>
      <c r="B13" s="19">
        <f>B12/4.33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52" customWidth="1"/>
    <col min="2" max="2" width="16" customWidth="1"/>
  </cols>
  <sheetData>
    <row r="1" spans="1:1" x14ac:dyDescent="0.25">
      <c r="A1" s="1" t="s">
        <v>79</v>
      </c>
    </row>
    <row r="2" spans="1:1" x14ac:dyDescent="0.25">
      <c r="A2" s="2" t="s">
        <v>80</v>
      </c>
    </row>
    <row r="3" spans="1:1" x14ac:dyDescent="0.25">
      <c r="A3" s="2" t="s">
        <v>2</v>
      </c>
    </row>
    <row r="5" spans="1:2" x14ac:dyDescent="0.25">
      <c r="A5" t="s">
        <v>81</v>
      </c>
      <c r="B5" s="9">
        <v>40</v>
      </c>
    </row>
    <row r="6" spans="1:2" x14ac:dyDescent="0.25">
      <c r="A6" t="s">
        <v>82</v>
      </c>
      <c r="B6" s="13">
        <v>150</v>
      </c>
    </row>
    <row r="7" spans="1:2" x14ac:dyDescent="0.25">
      <c r="A7" t="s">
        <v>83</v>
      </c>
      <c r="B7" s="9">
        <v>20</v>
      </c>
    </row>
    <row r="8" spans="1:2" x14ac:dyDescent="0.25">
      <c r="A8" t="s">
        <v>84</v>
      </c>
      <c r="B8" s="8">
        <v>0.08</v>
      </c>
    </row>
    <row r="9" spans="1:2" x14ac:dyDescent="0.25">
      <c r="A9" t="s">
        <v>85</v>
      </c>
      <c r="B9" s="8">
        <v>0.05</v>
      </c>
    </row>
    <row r="11" spans="1:2" x14ac:dyDescent="0.25">
      <c r="A11" t="s">
        <v>86</v>
      </c>
      <c r="B11" s="5">
        <f>B5*B6*B7</f>
      </c>
    </row>
    <row r="12" spans="1:2" x14ac:dyDescent="0.25">
      <c r="A12" t="s">
        <v>87</v>
      </c>
      <c r="B12" s="11">
        <f>B6*(1+B8)</f>
      </c>
    </row>
    <row r="13" spans="1:2" x14ac:dyDescent="0.25">
      <c r="A13" t="s">
        <v>88</v>
      </c>
      <c r="B13" s="10">
        <f>B5*(1-B9)*B12*B7</f>
      </c>
    </row>
    <row r="14" spans="1:2" x14ac:dyDescent="0.25">
      <c r="A14" t="s">
        <v>89</v>
      </c>
      <c r="B14" s="10">
        <f>B13-B11</f>
      </c>
    </row>
    <row r="15" spans="1:2" x14ac:dyDescent="0.25">
      <c r="A15" t="s">
        <v>90</v>
      </c>
      <c r="B15" s="20">
        <f>B8/(1+B8)</f>
      </c>
    </row>
    <row r="16" spans="1:2" x14ac:dyDescent="0.25">
      <c r="A16" t="s">
        <v>91</v>
      </c>
      <c r="B16" s="14">
        <v>2.5</v>
      </c>
    </row>
    <row r="17" spans="1:2" x14ac:dyDescent="0.25">
      <c r="A17" t="s">
        <v>92</v>
      </c>
      <c r="B17" s="21">
        <f>B5*B9*B7*B16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Hourly Target</vt:lpstr>
      <vt:lpstr>Job Profit Check</vt:lpstr>
      <vt:lpstr>Drive Time Cost</vt:lpstr>
      <vt:lpstr>Break-Even</vt:lpstr>
      <vt:lpstr>Price Increase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