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ur Numbers" state="visible" r:id="rId4"/>
    <sheet sheetId="2" name="Surface Matrix" state="visible" r:id="rId5"/>
    <sheet sheetId="3" name="Quote Builder" state="visible" r:id="rId6"/>
    <sheet sheetId="4" name="Rate Card" state="visible" r:id="rId7"/>
  </sheets>
  <calcPr calcId="171027" fullCalcOnLoad="1"/>
</workbook>
</file>

<file path=xl/sharedStrings.xml><?xml version="1.0" encoding="utf-8"?>
<sst xmlns="http://schemas.openxmlformats.org/spreadsheetml/2006/main" count="172" uniqueCount="92">
  <si>
    <t>Your Numbers — what you need to charge per billable hour</t>
  </si>
  <si>
    <t>Start here. Every other sheet uses the Target hourly rate from this page.</t>
  </si>
  <si>
    <t>Yellow cells are inputs — change them. Green cells are results (formulas).</t>
  </si>
  <si>
    <t>Annual take-home pay goal (what you want to pay yourself)</t>
  </si>
  <si>
    <t>Be honest — this is your salary, not the business's revenue.</t>
  </si>
  <si>
    <t>Tax set-aside (% of profit) — ask your accountant</t>
  </si>
  <si>
    <t>Annual business costs (vehicle, insurance, supplies, equipment, software, phone, marketing)</t>
  </si>
  <si>
    <t>Working weeks per year (after vacation, weather, sick days)</t>
  </si>
  <si>
    <t>Billable hours per week (paid, on-site time — not driving or quoting)</t>
  </si>
  <si>
    <t>Most solo operators bill 25–32 hours in a 45–50 hour work week.</t>
  </si>
  <si>
    <t>Profit needed before tax</t>
  </si>
  <si>
    <t>Revenue needed per year</t>
  </si>
  <si>
    <t>Billable hours per year</t>
  </si>
  <si>
    <t>Minimum hourly rate (break-even on your goal)</t>
  </si>
  <si>
    <t>Buffer for slow weeks, callbacks, and price creep (%)</t>
  </si>
  <si>
    <t>TARGET HOURLY RATE (used by the other sheets)</t>
  </si>
  <si>
    <t>Revenue needed per working week</t>
  </si>
  <si>
    <t>Surface Pricing Matrix</t>
  </si>
  <si>
    <t>Rates are starting points. Production rate = units you clean per hour including setup and rinse.</t>
  </si>
  <si>
    <t>Surface</t>
  </si>
  <si>
    <t>Unit</t>
  </si>
  <si>
    <t>Low $</t>
  </si>
  <si>
    <t>Target $</t>
  </si>
  <si>
    <t>Units per hour</t>
  </si>
  <si>
    <t>Notes</t>
  </si>
  <si>
    <t>Concrete driveway / sidewalk</t>
  </si>
  <si>
    <t>sq ft</t>
  </si>
  <si>
    <t>Surface cleaner; pre-treat + post-rinse</t>
  </si>
  <si>
    <t>Concrete patio</t>
  </si>
  <si>
    <t>More edges and furniture moving</t>
  </si>
  <si>
    <t>Pavers — clean only</t>
  </si>
  <si>
    <t>Low pressure; joint sand loss likely</t>
  </si>
  <si>
    <t>Pavers — clean + polymeric sand</t>
  </si>
  <si>
    <t>Sand material extra</t>
  </si>
  <si>
    <t>House soft wash — vinyl siding</t>
  </si>
  <si>
    <t>sq ft wall</t>
  </si>
  <si>
    <t>Wall area ≈ house sq ft × 1.3–1.5 per story</t>
  </si>
  <si>
    <t>House soft wash — stucco / brick</t>
  </si>
  <si>
    <t>Porous; more chem and rinse time</t>
  </si>
  <si>
    <t>Wood deck — clean + brighten</t>
  </si>
  <si>
    <t>Low pressure; raised grain risk</t>
  </si>
  <si>
    <t>Fence — per side</t>
  </si>
  <si>
    <t>linear ft</t>
  </si>
  <si>
    <t>6ft privacy fence, one side</t>
  </si>
  <si>
    <t>Roof soft wash (trained only)</t>
  </si>
  <si>
    <t>Check insurance coverage for roof work</t>
  </si>
  <si>
    <t>Gutter face brightening</t>
  </si>
  <si>
    <t>Tiger stripes; no guarantee of full removal</t>
  </si>
  <si>
    <t>Pool deck</t>
  </si>
  <si>
    <t/>
  </si>
  <si>
    <t>Garage floor</t>
  </si>
  <si>
    <t>Drainage plan needed</t>
  </si>
  <si>
    <t>Dumpster pad (commercial)</t>
  </si>
  <si>
    <t>each</t>
  </si>
  <si>
    <t>Degreaser; wastewater rules apply</t>
  </si>
  <si>
    <t>Rust / oil stain treatment</t>
  </si>
  <si>
    <t>Improvement, not guaranteed removal</t>
  </si>
  <si>
    <t>Condition multipliers</t>
  </si>
  <si>
    <t>Condition</t>
  </si>
  <si>
    <t>Multiplier</t>
  </si>
  <si>
    <t>Light</t>
  </si>
  <si>
    <t>Moderate</t>
  </si>
  <si>
    <t>Heavy</t>
  </si>
  <si>
    <t>Pressure Washing Quote Builder</t>
  </si>
  <si>
    <t>Pick surfaces, enter measured quantity and condition. Multiplier raises both price and time.</t>
  </si>
  <si>
    <t>Target hourly rate</t>
  </si>
  <si>
    <t>Minimum job price</t>
  </si>
  <si>
    <t>Chemical + fuel cost per job hour</t>
  </si>
  <si>
    <t>Surface (pick)</t>
  </si>
  <si>
    <t>Quantity</t>
  </si>
  <si>
    <t>Rate</t>
  </si>
  <si>
    <t>Line total</t>
  </si>
  <si>
    <t>Est. hours</t>
  </si>
  <si>
    <t>Subtotal</t>
  </si>
  <si>
    <t>← includes 0.5 hr setup/breakdown</t>
  </si>
  <si>
    <t>Bundle discount for 3+ services (%)</t>
  </si>
  <si>
    <t>QUOTED PRICE</t>
  </si>
  <si>
    <t>Est. chemical + fuel cost</t>
  </si>
  <si>
    <t>Effective hourly after chemicals</t>
  </si>
  <si>
    <t>Status</t>
  </si>
  <si>
    <t>Pressure Washing Rate Card</t>
  </si>
  <si>
    <t>Starting ranges only — prices vary a lot by region. Replace with your local numbers.</t>
  </si>
  <si>
    <t>Category</t>
  </si>
  <si>
    <t>Item</t>
  </si>
  <si>
    <t>Your price $</t>
  </si>
  <si>
    <t>policy</t>
  </si>
  <si>
    <t>Minimum job</t>
  </si>
  <si>
    <t>job</t>
  </si>
  <si>
    <t>Covers setup, water, travel</t>
  </si>
  <si>
    <t>surface</t>
  </si>
  <si>
    <t>Water not available on site</t>
  </si>
  <si>
    <t>If you must bring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</si>
</sst>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  <font>
      <b/>
      <color rgb="FFE8A838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1C2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3" fontId="0" fillId="0" borderId="0" xfId="0" applyNumberFormat="1"/>
    <xf numFmtId="165" fontId="3" fillId="3" borderId="0" xfId="0" applyNumberFormat="1" applyFont="1" applyFill="1"/>
    <xf numFmtId="0" fontId="3" fillId="0" borderId="0" xfId="0" applyFont="1"/>
    <xf numFmtId="164" fontId="3" fillId="3" borderId="0" xfId="0" applyNumberFormat="1" applyFont="1" applyFill="1"/>
    <xf numFmtId="0" fontId="4" fillId="4" borderId="0" xfId="0" applyFont="1" applyFill="1" applyAlignment="1">
      <alignment vertical="center" wrapText="1"/>
    </xf>
    <xf numFmtId="165" fontId="0" fillId="2" borderId="0" xfId="0" applyNumberFormat="1" applyFill="1"/>
    <xf numFmtId="3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165" fontId="0" fillId="0" borderId="0" xfId="0" applyNumberFormat="1"/>
    <xf numFmtId="2" fontId="0" fillId="0" borderId="0" xfId="0" applyNumberFormat="1"/>
    <xf numFmtId="165" fontId="3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58" customWidth="1"/>
    <col min="2" max="2" width="18" customWidth="1"/>
    <col min="3" max="3" width="6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3" x14ac:dyDescent="0.25">
      <c r="A5" t="s">
        <v>3</v>
      </c>
      <c r="B5" s="3">
        <v>60000</v>
      </c>
      <c r="C5" t="s">
        <v>4</v>
      </c>
    </row>
    <row r="6" spans="1:2" x14ac:dyDescent="0.25">
      <c r="A6" t="s">
        <v>5</v>
      </c>
      <c r="B6" s="4">
        <v>0.25</v>
      </c>
    </row>
    <row r="7" spans="1:2" x14ac:dyDescent="0.25">
      <c r="A7" t="s">
        <v>6</v>
      </c>
      <c r="B7" s="3">
        <v>20000</v>
      </c>
    </row>
    <row r="8" spans="1:2" x14ac:dyDescent="0.25">
      <c r="A8" t="s">
        <v>7</v>
      </c>
      <c r="B8" s="5">
        <v>40</v>
      </c>
    </row>
    <row r="9" spans="1:3" x14ac:dyDescent="0.25">
      <c r="A9" t="s">
        <v>8</v>
      </c>
      <c r="B9" s="5">
        <v>25</v>
      </c>
      <c r="C9" t="s">
        <v>9</v>
      </c>
    </row>
    <row r="11" spans="1:2" x14ac:dyDescent="0.25">
      <c r="A11" t="s">
        <v>10</v>
      </c>
      <c r="B11" s="6">
        <f>B5/(1-B6)</f>
      </c>
    </row>
    <row r="12" spans="1:2" x14ac:dyDescent="0.25">
      <c r="A12" t="s">
        <v>11</v>
      </c>
      <c r="B12" s="6">
        <f>B11+B7</f>
      </c>
    </row>
    <row r="13" spans="1:2" x14ac:dyDescent="0.25">
      <c r="A13" t="s">
        <v>12</v>
      </c>
      <c r="B13" s="7">
        <f>B8*B9</f>
      </c>
    </row>
    <row r="14" spans="1:2" x14ac:dyDescent="0.25">
      <c r="A14" t="s">
        <v>13</v>
      </c>
      <c r="B14" s="8">
        <f>IF(B13&gt;0,B12/B13,0)</f>
      </c>
    </row>
    <row r="15" spans="1:2" x14ac:dyDescent="0.25">
      <c r="A15" t="s">
        <v>14</v>
      </c>
      <c r="B15" s="4">
        <v>0.15</v>
      </c>
    </row>
    <row r="16" spans="1:2" x14ac:dyDescent="0.25">
      <c r="A16" s="9" t="s">
        <v>15</v>
      </c>
      <c r="B16" s="8">
        <f>B14*(1+B15)</f>
      </c>
    </row>
    <row r="17" spans="1:2" x14ac:dyDescent="0.25">
      <c r="A17" t="s">
        <v>16</v>
      </c>
      <c r="B17" s="10">
        <f>IF(B8&gt;0,B12/B8,0)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38" customWidth="1"/>
    <col min="2" max="2" width="12" customWidth="1"/>
    <col min="3" max="3" width="10" customWidth="1"/>
    <col min="4" max="4" width="12" customWidth="1"/>
    <col min="5" max="5" width="16" customWidth="1"/>
    <col min="6" max="6" width="50" customWidth="1"/>
  </cols>
  <sheetData>
    <row r="1" spans="1:1" x14ac:dyDescent="0.25">
      <c r="A1" s="1" t="s">
        <v>17</v>
      </c>
    </row>
    <row r="2" spans="1:1" x14ac:dyDescent="0.25">
      <c r="A2" s="2" t="s">
        <v>18</v>
      </c>
    </row>
    <row r="3" spans="1:1" x14ac:dyDescent="0.25">
      <c r="A3" s="2" t="s">
        <v>2</v>
      </c>
    </row>
    <row r="5" spans="1:6" x14ac:dyDescent="0.25">
      <c r="A5" s="11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24</v>
      </c>
    </row>
    <row r="6" spans="1:6" x14ac:dyDescent="0.25">
      <c r="A6" t="s">
        <v>25</v>
      </c>
      <c r="B6" t="s">
        <v>26</v>
      </c>
      <c r="C6" s="12">
        <v>0.15</v>
      </c>
      <c r="D6" s="12">
        <v>0.25</v>
      </c>
      <c r="E6" s="13">
        <v>800</v>
      </c>
      <c r="F6" t="s">
        <v>27</v>
      </c>
    </row>
    <row r="7" spans="1:6" x14ac:dyDescent="0.25">
      <c r="A7" t="s">
        <v>28</v>
      </c>
      <c r="B7" t="s">
        <v>26</v>
      </c>
      <c r="C7" s="12">
        <v>0.18</v>
      </c>
      <c r="D7" s="12">
        <v>0.3</v>
      </c>
      <c r="E7" s="13">
        <v>600</v>
      </c>
      <c r="F7" t="s">
        <v>29</v>
      </c>
    </row>
    <row r="8" spans="1:6" x14ac:dyDescent="0.25">
      <c r="A8" t="s">
        <v>30</v>
      </c>
      <c r="B8" t="s">
        <v>26</v>
      </c>
      <c r="C8" s="12">
        <v>0.25</v>
      </c>
      <c r="D8" s="12">
        <v>0.4</v>
      </c>
      <c r="E8" s="13">
        <v>400</v>
      </c>
      <c r="F8" t="s">
        <v>31</v>
      </c>
    </row>
    <row r="9" spans="1:6" x14ac:dyDescent="0.25">
      <c r="A9" t="s">
        <v>32</v>
      </c>
      <c r="B9" t="s">
        <v>26</v>
      </c>
      <c r="C9" s="12">
        <v>0.9</v>
      </c>
      <c r="D9" s="12">
        <v>1.5</v>
      </c>
      <c r="E9" s="13">
        <v>150</v>
      </c>
      <c r="F9" t="s">
        <v>33</v>
      </c>
    </row>
    <row r="10" spans="1:6" x14ac:dyDescent="0.25">
      <c r="A10" t="s">
        <v>34</v>
      </c>
      <c r="B10" t="s">
        <v>35</v>
      </c>
      <c r="C10" s="12">
        <v>0.12</v>
      </c>
      <c r="D10" s="12">
        <v>0.2</v>
      </c>
      <c r="E10" s="13">
        <v>1200</v>
      </c>
      <c r="F10" t="s">
        <v>36</v>
      </c>
    </row>
    <row r="11" spans="1:6" x14ac:dyDescent="0.25">
      <c r="A11" t="s">
        <v>37</v>
      </c>
      <c r="B11" t="s">
        <v>35</v>
      </c>
      <c r="C11" s="12">
        <v>0.15</v>
      </c>
      <c r="D11" s="12">
        <v>0.25</v>
      </c>
      <c r="E11" s="13">
        <v>900</v>
      </c>
      <c r="F11" t="s">
        <v>38</v>
      </c>
    </row>
    <row r="12" spans="1:6" x14ac:dyDescent="0.25">
      <c r="A12" t="s">
        <v>39</v>
      </c>
      <c r="B12" t="s">
        <v>26</v>
      </c>
      <c r="C12" s="12">
        <v>0.4</v>
      </c>
      <c r="D12" s="12">
        <v>0.75</v>
      </c>
      <c r="E12" s="13">
        <v>250</v>
      </c>
      <c r="F12" t="s">
        <v>40</v>
      </c>
    </row>
    <row r="13" spans="1:6" x14ac:dyDescent="0.25">
      <c r="A13" t="s">
        <v>41</v>
      </c>
      <c r="B13" t="s">
        <v>42</v>
      </c>
      <c r="C13" s="12">
        <v>1</v>
      </c>
      <c r="D13" s="12">
        <v>2</v>
      </c>
      <c r="E13" s="13">
        <v>80</v>
      </c>
      <c r="F13" t="s">
        <v>43</v>
      </c>
    </row>
    <row r="14" spans="1:6" x14ac:dyDescent="0.25">
      <c r="A14" t="s">
        <v>44</v>
      </c>
      <c r="B14" t="s">
        <v>26</v>
      </c>
      <c r="C14" s="12">
        <v>0.25</v>
      </c>
      <c r="D14" s="12">
        <v>0.45</v>
      </c>
      <c r="E14" s="13">
        <v>800</v>
      </c>
      <c r="F14" t="s">
        <v>45</v>
      </c>
    </row>
    <row r="15" spans="1:6" x14ac:dyDescent="0.25">
      <c r="A15" t="s">
        <v>46</v>
      </c>
      <c r="B15" t="s">
        <v>42</v>
      </c>
      <c r="C15" s="12">
        <v>1</v>
      </c>
      <c r="D15" s="12">
        <v>1.75</v>
      </c>
      <c r="E15" s="13">
        <v>100</v>
      </c>
      <c r="F15" t="s">
        <v>47</v>
      </c>
    </row>
    <row r="16" spans="1:6" x14ac:dyDescent="0.25">
      <c r="A16" t="s">
        <v>48</v>
      </c>
      <c r="B16" t="s">
        <v>26</v>
      </c>
      <c r="C16" s="12">
        <v>0.2</v>
      </c>
      <c r="D16" s="12">
        <v>0.35</v>
      </c>
      <c r="E16" s="13">
        <v>600</v>
      </c>
      <c r="F16" t="s">
        <v>49</v>
      </c>
    </row>
    <row r="17" spans="1:6" x14ac:dyDescent="0.25">
      <c r="A17" t="s">
        <v>50</v>
      </c>
      <c r="B17" t="s">
        <v>26</v>
      </c>
      <c r="C17" s="12">
        <v>0.2</v>
      </c>
      <c r="D17" s="12">
        <v>0.35</v>
      </c>
      <c r="E17" s="13">
        <v>500</v>
      </c>
      <c r="F17" t="s">
        <v>51</v>
      </c>
    </row>
    <row r="18" spans="1:6" x14ac:dyDescent="0.25">
      <c r="A18" t="s">
        <v>52</v>
      </c>
      <c r="B18" t="s">
        <v>53</v>
      </c>
      <c r="C18" s="12">
        <v>75</v>
      </c>
      <c r="D18" s="12">
        <v>125</v>
      </c>
      <c r="E18" s="13">
        <v>2</v>
      </c>
      <c r="F18" t="s">
        <v>54</v>
      </c>
    </row>
    <row r="19" spans="1:6" x14ac:dyDescent="0.25">
      <c r="A19" t="s">
        <v>55</v>
      </c>
      <c r="B19" t="s">
        <v>53</v>
      </c>
      <c r="C19" s="12">
        <v>25</v>
      </c>
      <c r="D19" s="12">
        <v>75</v>
      </c>
      <c r="E19" s="13">
        <v>3</v>
      </c>
      <c r="F19" t="s">
        <v>56</v>
      </c>
    </row>
    <row r="21" spans="1:1" x14ac:dyDescent="0.25">
      <c r="A21" s="9" t="s">
        <v>57</v>
      </c>
    </row>
    <row r="22" spans="1:2" x14ac:dyDescent="0.25">
      <c r="A22" s="11" t="s">
        <v>58</v>
      </c>
      <c r="B22" s="11" t="s">
        <v>59</v>
      </c>
    </row>
    <row r="23" spans="1:2" x14ac:dyDescent="0.25">
      <c r="A23" t="s">
        <v>60</v>
      </c>
      <c r="B23" s="14">
        <v>1</v>
      </c>
    </row>
    <row r="24" spans="1:2" x14ac:dyDescent="0.25">
      <c r="A24" t="s">
        <v>61</v>
      </c>
      <c r="B24" s="14">
        <v>1.2</v>
      </c>
    </row>
    <row r="25" spans="1:2" x14ac:dyDescent="0.25">
      <c r="A25" t="s">
        <v>62</v>
      </c>
      <c r="B25" s="14">
        <v>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38" customWidth="1"/>
    <col min="2" max="4" width="12" customWidth="1"/>
    <col min="5" max="5" width="14" customWidth="1"/>
    <col min="6" max="6" width="12" customWidth="1"/>
  </cols>
  <sheetData>
    <row r="1" spans="1:1" x14ac:dyDescent="0.25">
      <c r="A1" s="1" t="s">
        <v>63</v>
      </c>
    </row>
    <row r="2" spans="1:1" x14ac:dyDescent="0.25">
      <c r="A2" s="2" t="s">
        <v>64</v>
      </c>
    </row>
    <row r="3" spans="1:1" x14ac:dyDescent="0.25">
      <c r="A3" s="2" t="s">
        <v>2</v>
      </c>
    </row>
    <row r="4" spans="1:2" x14ac:dyDescent="0.25">
      <c r="A4" t="s">
        <v>65</v>
      </c>
      <c r="B4" s="12">
        <f>'Your Numbers'!$B$16</f>
      </c>
    </row>
    <row r="5" spans="1:2" x14ac:dyDescent="0.25">
      <c r="A5" t="s">
        <v>66</v>
      </c>
      <c r="B5" s="3">
        <v>175</v>
      </c>
    </row>
    <row r="6" spans="1:2" x14ac:dyDescent="0.25">
      <c r="A6" t="s">
        <v>67</v>
      </c>
      <c r="B6" s="12">
        <v>12</v>
      </c>
    </row>
    <row r="8" spans="1:6" x14ac:dyDescent="0.25">
      <c r="A8" s="11" t="s">
        <v>68</v>
      </c>
      <c r="B8" s="11" t="s">
        <v>69</v>
      </c>
      <c r="C8" s="11" t="s">
        <v>58</v>
      </c>
      <c r="D8" s="11" t="s">
        <v>70</v>
      </c>
      <c r="E8" s="11" t="s">
        <v>71</v>
      </c>
      <c r="F8" s="11" t="s">
        <v>72</v>
      </c>
    </row>
    <row r="9" spans="1:6" x14ac:dyDescent="0.25">
      <c r="A9" s="15" t="s">
        <v>25</v>
      </c>
      <c r="B9" s="13">
        <v>700</v>
      </c>
      <c r="C9" s="15" t="s">
        <v>61</v>
      </c>
      <c r="D9" s="16">
        <f>IF(A9="","",VLOOKUP(A9,'Surface Matrix'!$A$6:$F$19,4,FALSE)*VLOOKUP(IF(C9="","Light",C9),'Surface Matrix'!$A$23:$B$25,2,FALSE))</f>
      </c>
      <c r="E9" s="16">
        <f>IF(A9="","",B9*D9)</f>
      </c>
      <c r="F9" s="17">
        <f>IF(A9="","",B9/VLOOKUP(A9,'Surface Matrix'!$A$6:$F$19,5,FALSE)*VLOOKUP(IF(C9="","Light",C9),'Surface Matrix'!$A$23:$B$25,2,FALSE))</f>
      </c>
    </row>
    <row r="10" spans="1:6" x14ac:dyDescent="0.25">
      <c r="A10" s="15" t="s">
        <v>34</v>
      </c>
      <c r="B10" s="13">
        <v>2600</v>
      </c>
      <c r="C10" s="15" t="s">
        <v>60</v>
      </c>
      <c r="D10" s="16">
        <f>IF(A10="","",VLOOKUP(A10,'Surface Matrix'!$A$6:$F$19,4,FALSE)*VLOOKUP(IF(C10="","Light",C10),'Surface Matrix'!$A$23:$B$25,2,FALSE))</f>
      </c>
      <c r="E10" s="16">
        <f>IF(A10="","",B10*D10)</f>
      </c>
      <c r="F10" s="17">
        <f>IF(A10="","",B10/VLOOKUP(A10,'Surface Matrix'!$A$6:$F$19,5,FALSE)*VLOOKUP(IF(C10="","Light",C10),'Surface Matrix'!$A$23:$B$25,2,FALSE))</f>
      </c>
    </row>
    <row r="11" spans="1:6" x14ac:dyDescent="0.25">
      <c r="A11" s="15" t="s">
        <v>55</v>
      </c>
      <c r="B11" s="13">
        <v>1</v>
      </c>
      <c r="C11" s="15" t="s">
        <v>62</v>
      </c>
      <c r="D11" s="16">
        <f>IF(A11="","",VLOOKUP(A11,'Surface Matrix'!$A$6:$F$19,4,FALSE)*VLOOKUP(IF(C11="","Light",C11),'Surface Matrix'!$A$23:$B$25,2,FALSE))</f>
      </c>
      <c r="E11" s="16">
        <f>IF(A11="","",B11*D11)</f>
      </c>
      <c r="F11" s="17">
        <f>IF(A11="","",B11/VLOOKUP(A11,'Surface Matrix'!$A$6:$F$19,5,FALSE)*VLOOKUP(IF(C11="","Light",C11),'Surface Matrix'!$A$23:$B$25,2,FALSE))</f>
      </c>
    </row>
    <row r="12" spans="1:6" x14ac:dyDescent="0.25">
      <c r="A12" s="15"/>
      <c r="B12" s="13"/>
      <c r="C12" s="15"/>
      <c r="D12" s="16">
        <f>IF(A12="","",VLOOKUP(A12,'Surface Matrix'!$A$6:$F$19,4,FALSE)*VLOOKUP(IF(C12="","Light",C12),'Surface Matrix'!$A$23:$B$25,2,FALSE))</f>
      </c>
      <c r="E12" s="16">
        <f>IF(A12="","",B12*D12)</f>
      </c>
      <c r="F12" s="17">
        <f>IF(A12="","",B12/VLOOKUP(A12,'Surface Matrix'!$A$6:$F$19,5,FALSE)*VLOOKUP(IF(C12="","Light",C12),'Surface Matrix'!$A$23:$B$25,2,FALSE))</f>
      </c>
    </row>
    <row r="13" spans="1:6" x14ac:dyDescent="0.25">
      <c r="A13" s="15"/>
      <c r="B13" s="13"/>
      <c r="C13" s="15"/>
      <c r="D13" s="16">
        <f>IF(A13="","",VLOOKUP(A13,'Surface Matrix'!$A$6:$F$19,4,FALSE)*VLOOKUP(IF(C13="","Light",C13),'Surface Matrix'!$A$23:$B$25,2,FALSE))</f>
      </c>
      <c r="E13" s="16">
        <f>IF(A13="","",B13*D13)</f>
      </c>
      <c r="F13" s="17">
        <f>IF(A13="","",B13/VLOOKUP(A13,'Surface Matrix'!$A$6:$F$19,5,FALSE)*VLOOKUP(IF(C13="","Light",C13),'Surface Matrix'!$A$23:$B$25,2,FALSE))</f>
      </c>
    </row>
    <row r="14" spans="1:6" x14ac:dyDescent="0.25">
      <c r="A14" s="15"/>
      <c r="B14" s="13"/>
      <c r="C14" s="15"/>
      <c r="D14" s="16">
        <f>IF(A14="","",VLOOKUP(A14,'Surface Matrix'!$A$6:$F$19,4,FALSE)*VLOOKUP(IF(C14="","Light",C14),'Surface Matrix'!$A$23:$B$25,2,FALSE))</f>
      </c>
      <c r="E14" s="16">
        <f>IF(A14="","",B14*D14)</f>
      </c>
      <c r="F14" s="17">
        <f>IF(A14="","",B14/VLOOKUP(A14,'Surface Matrix'!$A$6:$F$19,5,FALSE)*VLOOKUP(IF(C14="","Light",C14),'Surface Matrix'!$A$23:$B$25,2,FALSE))</f>
      </c>
    </row>
    <row r="15" spans="1:6" x14ac:dyDescent="0.25">
      <c r="A15" s="15"/>
      <c r="B15" s="13"/>
      <c r="C15" s="15"/>
      <c r="D15" s="16">
        <f>IF(A15="","",VLOOKUP(A15,'Surface Matrix'!$A$6:$F$19,4,FALSE)*VLOOKUP(IF(C15="","Light",C15),'Surface Matrix'!$A$23:$B$25,2,FALSE))</f>
      </c>
      <c r="E15" s="16">
        <f>IF(A15="","",B15*D15)</f>
      </c>
      <c r="F15" s="17">
        <f>IF(A15="","",B15/VLOOKUP(A15,'Surface Matrix'!$A$6:$F$19,5,FALSE)*VLOOKUP(IF(C15="","Light",C15),'Surface Matrix'!$A$23:$B$25,2,FALSE))</f>
      </c>
    </row>
    <row r="16" spans="1:6" x14ac:dyDescent="0.25">
      <c r="A16" s="15"/>
      <c r="B16" s="13"/>
      <c r="C16" s="15"/>
      <c r="D16" s="16">
        <f>IF(A16="","",VLOOKUP(A16,'Surface Matrix'!$A$6:$F$19,4,FALSE)*VLOOKUP(IF(C16="","Light",C16),'Surface Matrix'!$A$23:$B$25,2,FALSE))</f>
      </c>
      <c r="E16" s="16">
        <f>IF(A16="","",B16*D16)</f>
      </c>
      <c r="F16" s="17">
        <f>IF(A16="","",B16/VLOOKUP(A16,'Surface Matrix'!$A$6:$F$19,5,FALSE)*VLOOKUP(IF(C16="","Light",C16),'Surface Matrix'!$A$23:$B$25,2,FALSE))</f>
      </c>
    </row>
    <row r="17" spans="1:6" x14ac:dyDescent="0.25">
      <c r="A17" s="15"/>
      <c r="B17" s="13"/>
      <c r="C17" s="15"/>
      <c r="D17" s="16">
        <f>IF(A17="","",VLOOKUP(A17,'Surface Matrix'!$A$6:$F$19,4,FALSE)*VLOOKUP(IF(C17="","Light",C17),'Surface Matrix'!$A$23:$B$25,2,FALSE))</f>
      </c>
      <c r="E17" s="16">
        <f>IF(A17="","",B17*D17)</f>
      </c>
      <c r="F17" s="17">
        <f>IF(A17="","",B17/VLOOKUP(A17,'Surface Matrix'!$A$6:$F$19,5,FALSE)*VLOOKUP(IF(C17="","Light",C17),'Surface Matrix'!$A$23:$B$25,2,FALSE))</f>
      </c>
    </row>
    <row r="18" spans="1:6" x14ac:dyDescent="0.25">
      <c r="A18" s="15"/>
      <c r="B18" s="13"/>
      <c r="C18" s="15"/>
      <c r="D18" s="16">
        <f>IF(A18="","",VLOOKUP(A18,'Surface Matrix'!$A$6:$F$19,4,FALSE)*VLOOKUP(IF(C18="","Light",C18),'Surface Matrix'!$A$23:$B$25,2,FALSE))</f>
      </c>
      <c r="E18" s="16">
        <f>IF(A18="","",B18*D18)</f>
      </c>
      <c r="F18" s="17">
        <f>IF(A18="","",B18/VLOOKUP(A18,'Surface Matrix'!$A$6:$F$19,5,FALSE)*VLOOKUP(IF(C18="","Light",C18),'Surface Matrix'!$A$23:$B$25,2,FALSE))</f>
      </c>
    </row>
    <row r="20" spans="1:7" x14ac:dyDescent="0.25">
      <c r="A20" t="s">
        <v>73</v>
      </c>
      <c r="E20" s="18">
        <f>SUM(E9:E18)</f>
      </c>
      <c r="F20" s="19">
        <f>SUM(F9:F18)+0.5</f>
      </c>
      <c r="G20" t="s">
        <v>74</v>
      </c>
    </row>
    <row r="21" spans="1:2" x14ac:dyDescent="0.25">
      <c r="A21" t="s">
        <v>75</v>
      </c>
      <c r="B21" s="4">
        <v>0</v>
      </c>
    </row>
    <row r="23" spans="1:5" x14ac:dyDescent="0.25">
      <c r="A23" s="9" t="s">
        <v>76</v>
      </c>
      <c r="E23" s="8">
        <f>CEILING(MAX(B5,E20*(1-B21)),5)</f>
      </c>
    </row>
    <row r="24" spans="1:5" x14ac:dyDescent="0.25">
      <c r="A24" t="s">
        <v>77</v>
      </c>
      <c r="E24" s="16">
        <f>F20*B6</f>
      </c>
    </row>
    <row r="25" spans="1:5" x14ac:dyDescent="0.25">
      <c r="A25" t="s">
        <v>78</v>
      </c>
      <c r="E25" s="8">
        <f>IF(F20&gt;0,(E23-E24)/F20,0)</f>
      </c>
    </row>
    <row r="26" spans="1:5" x14ac:dyDescent="0.25">
      <c r="A26" t="s">
        <v>79</v>
      </c>
      <c r="E26" s="9">
        <f>IF(F20&lt;=0.5,"",IF(E25&lt;B4,"Below target — raise price or check production rates","OK"))</f>
      </c>
    </row>
  </sheetData>
  <dataValidations count="4">
    <dataValidation type="list" allowBlank="1" sqref="A10:A18">
      <formula1>'Surface Matrix'!$A$6:$A$19</formula1>
    </dataValidation>
    <dataValidation type="list" allowBlank="1" sqref="A9:A18">
      <formula1>'Surface Matrix'!$A$6:$A$19</formula1>
    </dataValidation>
    <dataValidation type="list" allowBlank="1" sqref="C10:C18">
      <formula1>"Light,Moderate,Heavy"</formula1>
    </dataValidation>
    <dataValidation type="list" allowBlank="1" sqref="C9:C18">
      <formula1>"Light,Moderate,Heavy"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22" customWidth="1"/>
    <col min="2" max="2" width="44" customWidth="1"/>
    <col min="3" max="3" width="14" customWidth="1"/>
    <col min="4" max="5" width="12" customWidth="1"/>
    <col min="6" max="6" width="14" customWidth="1"/>
    <col min="7" max="7" width="50" customWidth="1"/>
  </cols>
  <sheetData>
    <row r="1" spans="1:1" x14ac:dyDescent="0.25">
      <c r="A1" s="1" t="s">
        <v>80</v>
      </c>
    </row>
    <row r="2" spans="1:1" x14ac:dyDescent="0.25">
      <c r="A2" s="2" t="s">
        <v>81</v>
      </c>
    </row>
    <row r="4" spans="1:7" x14ac:dyDescent="0.25">
      <c r="A4" s="11" t="s">
        <v>82</v>
      </c>
      <c r="B4" s="11" t="s">
        <v>83</v>
      </c>
      <c r="C4" s="11" t="s">
        <v>20</v>
      </c>
      <c r="D4" s="11" t="s">
        <v>21</v>
      </c>
      <c r="E4" s="11" t="s">
        <v>22</v>
      </c>
      <c r="F4" s="11" t="s">
        <v>84</v>
      </c>
      <c r="G4" s="11" t="s">
        <v>24</v>
      </c>
    </row>
    <row r="5" spans="1:7" x14ac:dyDescent="0.25">
      <c r="A5" t="s">
        <v>85</v>
      </c>
      <c r="B5" t="s">
        <v>86</v>
      </c>
      <c r="C5" t="s">
        <v>87</v>
      </c>
      <c r="D5" s="16">
        <v>150</v>
      </c>
      <c r="E5" s="16">
        <v>200</v>
      </c>
      <c r="F5" s="12"/>
      <c r="G5" t="s">
        <v>88</v>
      </c>
    </row>
    <row r="6" spans="1:7" x14ac:dyDescent="0.25">
      <c r="A6" t="s">
        <v>89</v>
      </c>
      <c r="B6" t="s">
        <v>25</v>
      </c>
      <c r="C6" t="s">
        <v>26</v>
      </c>
      <c r="D6" s="16">
        <v>0.15</v>
      </c>
      <c r="E6" s="16">
        <v>0.25</v>
      </c>
      <c r="F6" s="12"/>
      <c r="G6" t="s">
        <v>27</v>
      </c>
    </row>
    <row r="7" spans="1:7" x14ac:dyDescent="0.25">
      <c r="A7" t="s">
        <v>89</v>
      </c>
      <c r="B7" t="s">
        <v>28</v>
      </c>
      <c r="C7" t="s">
        <v>26</v>
      </c>
      <c r="D7" s="16">
        <v>0.18</v>
      </c>
      <c r="E7" s="16">
        <v>0.3</v>
      </c>
      <c r="F7" s="12"/>
      <c r="G7" t="s">
        <v>29</v>
      </c>
    </row>
    <row r="8" spans="1:7" x14ac:dyDescent="0.25">
      <c r="A8" t="s">
        <v>89</v>
      </c>
      <c r="B8" t="s">
        <v>30</v>
      </c>
      <c r="C8" t="s">
        <v>26</v>
      </c>
      <c r="D8" s="16">
        <v>0.25</v>
      </c>
      <c r="E8" s="16">
        <v>0.4</v>
      </c>
      <c r="F8" s="12"/>
      <c r="G8" t="s">
        <v>31</v>
      </c>
    </row>
    <row r="9" spans="1:7" x14ac:dyDescent="0.25">
      <c r="A9" t="s">
        <v>89</v>
      </c>
      <c r="B9" t="s">
        <v>32</v>
      </c>
      <c r="C9" t="s">
        <v>26</v>
      </c>
      <c r="D9" s="16">
        <v>0.9</v>
      </c>
      <c r="E9" s="16">
        <v>1.5</v>
      </c>
      <c r="F9" s="12"/>
      <c r="G9" t="s">
        <v>33</v>
      </c>
    </row>
    <row r="10" spans="1:7" x14ac:dyDescent="0.25">
      <c r="A10" t="s">
        <v>89</v>
      </c>
      <c r="B10" t="s">
        <v>34</v>
      </c>
      <c r="C10" t="s">
        <v>35</v>
      </c>
      <c r="D10" s="16">
        <v>0.12</v>
      </c>
      <c r="E10" s="16">
        <v>0.2</v>
      </c>
      <c r="F10" s="12"/>
      <c r="G10" t="s">
        <v>36</v>
      </c>
    </row>
    <row r="11" spans="1:7" x14ac:dyDescent="0.25">
      <c r="A11" t="s">
        <v>89</v>
      </c>
      <c r="B11" t="s">
        <v>37</v>
      </c>
      <c r="C11" t="s">
        <v>35</v>
      </c>
      <c r="D11" s="16">
        <v>0.15</v>
      </c>
      <c r="E11" s="16">
        <v>0.25</v>
      </c>
      <c r="F11" s="12"/>
      <c r="G11" t="s">
        <v>38</v>
      </c>
    </row>
    <row r="12" spans="1:7" x14ac:dyDescent="0.25">
      <c r="A12" t="s">
        <v>89</v>
      </c>
      <c r="B12" t="s">
        <v>39</v>
      </c>
      <c r="C12" t="s">
        <v>26</v>
      </c>
      <c r="D12" s="16">
        <v>0.4</v>
      </c>
      <c r="E12" s="16">
        <v>0.75</v>
      </c>
      <c r="F12" s="12"/>
      <c r="G12" t="s">
        <v>40</v>
      </c>
    </row>
    <row r="13" spans="1:7" x14ac:dyDescent="0.25">
      <c r="A13" t="s">
        <v>89</v>
      </c>
      <c r="B13" t="s">
        <v>41</v>
      </c>
      <c r="C13" t="s">
        <v>42</v>
      </c>
      <c r="D13" s="16">
        <v>1</v>
      </c>
      <c r="E13" s="16">
        <v>2</v>
      </c>
      <c r="F13" s="12"/>
      <c r="G13" t="s">
        <v>43</v>
      </c>
    </row>
    <row r="14" spans="1:7" x14ac:dyDescent="0.25">
      <c r="A14" t="s">
        <v>89</v>
      </c>
      <c r="B14" t="s">
        <v>44</v>
      </c>
      <c r="C14" t="s">
        <v>26</v>
      </c>
      <c r="D14" s="16">
        <v>0.25</v>
      </c>
      <c r="E14" s="16">
        <v>0.45</v>
      </c>
      <c r="F14" s="12"/>
      <c r="G14" t="s">
        <v>45</v>
      </c>
    </row>
    <row r="15" spans="1:7" x14ac:dyDescent="0.25">
      <c r="A15" t="s">
        <v>89</v>
      </c>
      <c r="B15" t="s">
        <v>46</v>
      </c>
      <c r="C15" t="s">
        <v>42</v>
      </c>
      <c r="D15" s="16">
        <v>1</v>
      </c>
      <c r="E15" s="16">
        <v>1.75</v>
      </c>
      <c r="F15" s="12"/>
      <c r="G15" t="s">
        <v>47</v>
      </c>
    </row>
    <row r="16" spans="1:7" x14ac:dyDescent="0.25">
      <c r="A16" t="s">
        <v>89</v>
      </c>
      <c r="B16" t="s">
        <v>48</v>
      </c>
      <c r="C16" t="s">
        <v>26</v>
      </c>
      <c r="D16" s="16">
        <v>0.2</v>
      </c>
      <c r="E16" s="16">
        <v>0.35</v>
      </c>
      <c r="F16" s="12"/>
      <c r="G16" t="s">
        <v>49</v>
      </c>
    </row>
    <row r="17" spans="1:7" x14ac:dyDescent="0.25">
      <c r="A17" t="s">
        <v>89</v>
      </c>
      <c r="B17" t="s">
        <v>50</v>
      </c>
      <c r="C17" t="s">
        <v>26</v>
      </c>
      <c r="D17" s="16">
        <v>0.2</v>
      </c>
      <c r="E17" s="16">
        <v>0.35</v>
      </c>
      <c r="F17" s="12"/>
      <c r="G17" t="s">
        <v>51</v>
      </c>
    </row>
    <row r="18" spans="1:7" x14ac:dyDescent="0.25">
      <c r="A18" t="s">
        <v>89</v>
      </c>
      <c r="B18" t="s">
        <v>52</v>
      </c>
      <c r="C18" t="s">
        <v>53</v>
      </c>
      <c r="D18" s="16">
        <v>75</v>
      </c>
      <c r="E18" s="16">
        <v>125</v>
      </c>
      <c r="F18" s="12"/>
      <c r="G18" t="s">
        <v>54</v>
      </c>
    </row>
    <row r="19" spans="1:7" x14ac:dyDescent="0.25">
      <c r="A19" t="s">
        <v>89</v>
      </c>
      <c r="B19" t="s">
        <v>55</v>
      </c>
      <c r="C19" t="s">
        <v>53</v>
      </c>
      <c r="D19" s="16">
        <v>25</v>
      </c>
      <c r="E19" s="16">
        <v>75</v>
      </c>
      <c r="F19" s="12"/>
      <c r="G19" t="s">
        <v>56</v>
      </c>
    </row>
    <row r="20" spans="1:7" x14ac:dyDescent="0.25">
      <c r="A20" t="s">
        <v>85</v>
      </c>
      <c r="B20" t="s">
        <v>90</v>
      </c>
      <c r="C20" t="s">
        <v>87</v>
      </c>
      <c r="D20" s="16">
        <v>50</v>
      </c>
      <c r="E20" s="16">
        <v>100</v>
      </c>
      <c r="F20" s="12"/>
      <c r="G20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Your Numbers</vt:lpstr>
      <vt:lpstr>Surface Matrix</vt:lpstr>
      <vt:lpstr>Quote Builder</vt:lpstr>
      <vt:lpstr>Rate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